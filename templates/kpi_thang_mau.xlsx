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Thắng-EHS\1. Biểu mẫu\KPI Tháng\"/>
    </mc:Choice>
  </mc:AlternateContent>
  <xr:revisionPtr revIDLastSave="0" documentId="13_ncr:20001_{90D62E9E-F295-45F4-8B5F-37C58DD62B2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KPI" sheetId="1" r:id="rId1"/>
    <sheet name="KPI (Thắng)" sheetId="2" r:id="rId2"/>
  </sheets>
  <definedNames>
    <definedName name="_11td">#REF!</definedName>
    <definedName name="_Fill" hidden="1">#REF!</definedName>
    <definedName name="_ma4">#REF!</definedName>
    <definedName name="_nkc2">#REF!</definedName>
    <definedName name="_td1">#REF!</definedName>
    <definedName name="BL">#REF!</definedName>
    <definedName name="BLCT">#REF!</definedName>
    <definedName name="BLHCM">#REF!</definedName>
    <definedName name="BLHY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DG">#REF!</definedName>
    <definedName name="dmh">#REF!</definedName>
    <definedName name="DMKH">#REF!</definedName>
    <definedName name="DMNB">#REF!</definedName>
    <definedName name="Document_array">{"HTSOVI~1.XLS","CONGNO~1.XLS","Sheet1"}</definedName>
    <definedName name="IV">#REF!</definedName>
    <definedName name="ly">#REF!</definedName>
    <definedName name="ma">#REF!</definedName>
    <definedName name="MANV">#REF!</definedName>
    <definedName name="MANVCT">#REF!</definedName>
    <definedName name="MANVHCM">#REF!</definedName>
    <definedName name="mh">#REF!</definedName>
    <definedName name="MNVCT">#REF!</definedName>
    <definedName name="SORT">#REF!</definedName>
    <definedName name="t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T">#REF!</definedName>
    <definedName name="ZYX">#REF!</definedName>
    <definedName name="ZZZ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2" l="1"/>
  <c r="R22" i="2"/>
  <c r="R21" i="2" s="1"/>
  <c r="E19" i="2"/>
  <c r="R16" i="2"/>
  <c r="R15" i="2"/>
  <c r="R14" i="2"/>
  <c r="R13" i="2"/>
  <c r="R12" i="2"/>
  <c r="R11" i="2"/>
  <c r="R10" i="2"/>
  <c r="R9" i="2"/>
  <c r="R8" i="2"/>
  <c r="R21" i="1"/>
  <c r="R18" i="1"/>
  <c r="R17" i="1"/>
  <c r="E15" i="1"/>
  <c r="R15" i="1" s="1"/>
  <c r="R16" i="1" s="1"/>
  <c r="R24" i="1" s="1"/>
  <c r="R25" i="1" s="1"/>
  <c r="R26" i="1" s="1"/>
  <c r="R12" i="1"/>
  <c r="R11" i="1"/>
  <c r="R10" i="1"/>
  <c r="R9" i="1"/>
  <c r="R8" i="1"/>
  <c r="R19" i="2" l="1"/>
  <c r="R20" i="2" s="1"/>
  <c r="R28" i="2" s="1"/>
  <c r="R29" i="2" s="1"/>
  <c r="R30" i="2" s="1"/>
</calcChain>
</file>

<file path=xl/sharedStrings.xml><?xml version="1.0" encoding="utf-8"?>
<sst xmlns="http://schemas.openxmlformats.org/spreadsheetml/2006/main" count="175" uniqueCount="105">
  <si>
    <t>KẾ HOẠCH KPI THÁNG ….....................</t>
  </si>
  <si>
    <t>HCNS-QĐ01-BM01</t>
  </si>
  <si>
    <t>HỌ TÊN: …........................</t>
  </si>
  <si>
    <t>CHỨC DANH: …................</t>
  </si>
  <si>
    <t>TT</t>
  </si>
  <si>
    <t>Nội dung công việc</t>
  </si>
  <si>
    <t>Mục tiêu</t>
  </si>
  <si>
    <t>Đơn vị tính</t>
  </si>
  <si>
    <t>Trọng số</t>
  </si>
  <si>
    <t>Không đạt</t>
  </si>
  <si>
    <t>Cần cố gắng</t>
  </si>
  <si>
    <t>Đạt yêu cầu</t>
  </si>
  <si>
    <t>Vượt yêu cầu</t>
  </si>
  <si>
    <t>Ghi chú</t>
  </si>
  <si>
    <t>ĐÁNH GIÁ</t>
  </si>
  <si>
    <t>0 điểm</t>
  </si>
  <si>
    <t>0.5 điểm</t>
  </si>
  <si>
    <t>1 điểm</t>
  </si>
  <si>
    <t>1.5 điểm)</t>
  </si>
  <si>
    <t>2 điểm</t>
  </si>
  <si>
    <t>2.5 điểm</t>
  </si>
  <si>
    <t>3 điểm</t>
  </si>
  <si>
    <t>3.5 điểm</t>
  </si>
  <si>
    <t>4 điểm</t>
  </si>
  <si>
    <t>Kết quả thực hiện</t>
  </si>
  <si>
    <t>Điểm theo mức độ hoàn thành chỉ tiêu</t>
  </si>
  <si>
    <t>Điểm KPI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</si>
  <si>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</si>
  <si>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</si>
  <si>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</si>
  <si>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</si>
  <si>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</si>
  <si>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</si>
  <si>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</si>
  <si>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</si>
  <si>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</si>
  <si>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</si>
  <si>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</si>
  <si>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</si>
  <si>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</si>
  <si>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A</t>
  </si>
  <si>
    <t>CÔNG VIỆC KẾ HOẠCH</t>
  </si>
  <si>
    <t>B</t>
  </si>
  <si>
    <t>Lỗi: được tính khi vi phạm các cam kết được thoả thuận trong kế hoạch được giao: chậm deadline/ không báo cáo đầy đủ/ không hoàn thành kế hoạch.</t>
  </si>
  <si>
    <t>TỔNG:</t>
  </si>
  <si>
    <t>I</t>
  </si>
  <si>
    <t>Điểm mục tiêu quy đổi</t>
  </si>
  <si>
    <t>II</t>
  </si>
  <si>
    <t>Điểm hành động</t>
  </si>
  <si>
    <t>Tuân thủ kỷ luật</t>
  </si>
  <si>
    <t>Tuân thủ chuyên môn nghiệp vụ</t>
  </si>
  <si>
    <t>III</t>
  </si>
  <si>
    <t>IV</t>
  </si>
  <si>
    <t>Xếp loại</t>
  </si>
  <si>
    <t>V</t>
  </si>
  <si>
    <t xml:space="preserve">Tỷ lệ </t>
  </si>
  <si>
    <t>Ngày       tháng       năm 2025</t>
  </si>
  <si>
    <t xml:space="preserve"> GIÁM ĐỐC</t>
  </si>
  <si>
    <t>TRƯỞNG BỘ PHẬN</t>
  </si>
  <si>
    <t>NGƯỜI LẬP</t>
  </si>
  <si>
    <t>HỌ TÊN: Đặng Vũ Việt Thắng</t>
  </si>
  <si>
    <t>CHỨC DANH: NHÂN VIÊN AN TOÀN</t>
  </si>
  <si>
    <t>Kiểm tra, giám sát an toàn xe đi bơm hàng ngoài nhà máy ( Kiểm tra trước khi ra ngoài cổng, trên đường đi, đến công ty bơm hàng và ngược lại)</t>
  </si>
  <si>
    <t>Đảm bảo giám sát tối thiểu 1 xe/ ngày và có báo cáo đầy đủ trước 15h ngày thứ 7
Giám sát an toàn theo xe :1 xe/ tuần và có báo cáo đầy đủ</t>
  </si>
  <si>
    <t>Báo cáo</t>
  </si>
  <si>
    <t>Thực hiện việc kiểm tra, cấp phát trang thiết bị an toàn, PCCC, thiết bị y tế theo xe, trong nhà máy</t>
  </si>
  <si>
    <t>Định kỳ báo cáo vào ngày đầu tiên của  tháng liền kề (trừ ngày nghỉ, lễ)</t>
  </si>
  <si>
    <t>Kiểm tra, theo dõi các thiết bị ứng phó sự cố trong và ngoài nhà máy.</t>
  </si>
  <si>
    <t>Đảm bảo 100% các thiết bị được kiểm tra định kỳ hàng tuần; Báo cáo vào ngày đầu của tháng tiếp theo ( trừ ngày nghỉ, lễ)</t>
  </si>
  <si>
    <t>Ngày chậm</t>
  </si>
  <si>
    <t xml:space="preserve"> Báo cáo công tác an toàn và 5s định kỳ</t>
  </si>
  <si>
    <t>Đảm bảo việc lập kế hoạch và báo cáo tuần</t>
  </si>
  <si>
    <t xml:space="preserve">Làm SDS  bản tiếng việt </t>
  </si>
  <si>
    <t>Đáp ứng 15 SDS/ tháng, đánh mã quản lý và cập nhật vào file hệ thống</t>
  </si>
  <si>
    <t>Phiếu</t>
  </si>
  <si>
    <t>Truyền thông, đào tạo nâng cao nhận thức chủ đề về an toàn giao thông, an toàn giao nhận hàng/ PPE/PCCC-CNCH/MT/5S</t>
  </si>
  <si>
    <t>Mỗi tháng một chủ đề bằng hình thức đào tạo/ Poster, clip,.... Nộp vào ngày cuối cùng của tháng</t>
  </si>
  <si>
    <t>Sản phẩm truyền thông</t>
  </si>
  <si>
    <t>Thực hiện việc tuân thủ quy định của công ty về quản lý nhân sự  theo đúng chính sách Công ty.</t>
  </si>
  <si>
    <t>Đảm bảo thực hiện đúng quy định công ty/ không đi làm muộn</t>
  </si>
  <si>
    <t>Số lẫn đi làm muộn</t>
  </si>
  <si>
    <t>Công tác báo cáo; phối hợp</t>
  </si>
  <si>
    <t>Thực hiện báo cáo theo đúng quy định của công ty, kịp thời, đúng nội dung.</t>
  </si>
  <si>
    <t>Số lỗi/phàn nàn</t>
  </si>
  <si>
    <t>Thực hiện các quy định 5S</t>
  </si>
  <si>
    <t>Tuân thủ đúng quy định</t>
  </si>
  <si>
    <t>Điểm</t>
  </si>
  <si>
    <t>ĐÁNH GIÁ KPI THÁNG 09/2026 - PHÒNG EHS (TẠM TÍNH)</t>
  </si>
  <si>
    <t>Đã làm đều; cần chốt vật tư thiếu và hạn nộp báo cáo.</t>
  </si>
  <si>
    <t>Cần đối chiếu danh mục để xác nhận đủ 100% thiết bị.</t>
  </si>
  <si>
    <t>Có 4 báo cáo tuần; chưa đủ kết quả đến hết tháng.</t>
  </si>
  <si>
    <t>Vượt khối lượng; chưa thấy cập nhật hệ thống.</t>
  </si>
  <si>
    <t>21 SDS mới/sửa (140% mục tiêu 15) và 27 SDS rà soát (~70 sheets).</t>
  </si>
  <si>
    <t>Cần cố gắng: chưa có sản phẩm truyền thông.</t>
  </si>
  <si>
    <t>Tuần ghi Đạt, chưa nêu poster/clip/lớp đào tạo hoặc ngày nộp.</t>
  </si>
  <si>
    <t>Tạm tính; chưa đối chiếu dữ liệu chấm công.</t>
  </si>
  <si>
    <t>4 tuần ghi Đạt; chưa có dữ liệu số lần đi muộn từ HCNS.</t>
  </si>
  <si>
    <t>Đạt; có việc phối hợp cụ thể.</t>
  </si>
  <si>
    <t>Chuẩn bị hồ sơ PCCC (tuần 3) và Meiko (tuần 4).</t>
  </si>
  <si>
    <t>Ngày 02 tháng 10 năm 2026</t>
  </si>
  <si>
    <t>12 lượt/11 xe; 3 lần theo xe.</t>
  </si>
  <si>
    <t>4 tuần cấp phát PPE/PCCC/y tế; một số xe thiếu vật tư</t>
  </si>
  <si>
    <t>4 tuần ghi kiểm tra khi đi hiện trường;</t>
  </si>
  <si>
    <t>Đạt; có tuân thủ đúng quy định</t>
  </si>
  <si>
    <t>Cần cố gắng: Giám sát trọn tuyến.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</si>
</sst>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#,##0.000"/>
    <numFmt numFmtId="167" formatCode="0.0%"/>
    <numFmt numFmtId="168" formatCode="[$-409]d/mmm;@"/>
    <numFmt numFmtId="169" formatCode="[$-409]d\-mmm;@"/>
  </numFmts>
  <fonts count="16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color theme="10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</patternFill>
    </fill>
    <fill>
      <patternFill patternType="solid">
        <fgColor theme="2" tint="-9.9978637043366805E-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168" fontId="13" fillId="0" borderId="0"/>
  </cellStyleXfs>
  <cellXfs count="90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6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9" fontId="5" fillId="4" borderId="2" xfId="0" applyNumberFormat="1" applyFont="1" applyFill="1" applyBorder="1" applyAlignment="1">
      <alignment horizontal="center"/>
    </xf>
    <xf numFmtId="4" fontId="5" fillId="4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9" fontId="4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8" fillId="0" borderId="2" xfId="2" applyNumberFormat="1" applyFont="1" applyBorder="1" applyAlignment="1">
      <alignment horizontal="center" vertical="center" wrapText="1"/>
    </xf>
    <xf numFmtId="9" fontId="4" fillId="0" borderId="0" xfId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4" fillId="0" borderId="0" xfId="1" applyFont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vertical="center" wrapText="1"/>
    </xf>
    <xf numFmtId="0" fontId="5" fillId="0" borderId="2" xfId="3" applyFont="1" applyBorder="1" applyAlignment="1">
      <alignment vertical="center" wrapText="1"/>
    </xf>
    <xf numFmtId="0" fontId="4" fillId="0" borderId="2" xfId="3" applyFont="1" applyBorder="1" applyAlignment="1">
      <alignment vertical="center" wrapText="1"/>
    </xf>
    <xf numFmtId="0" fontId="4" fillId="0" borderId="2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10" fillId="0" borderId="2" xfId="3" applyFont="1" applyBorder="1" applyAlignment="1">
      <alignment vertical="center" wrapText="1"/>
    </xf>
    <xf numFmtId="0" fontId="8" fillId="0" borderId="2" xfId="3" applyFont="1" applyBorder="1" applyAlignment="1">
      <alignment vertical="center" wrapText="1"/>
    </xf>
    <xf numFmtId="0" fontId="8" fillId="0" borderId="2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9" fontId="11" fillId="0" borderId="2" xfId="3" applyNumberFormat="1" applyFont="1" applyBorder="1" applyAlignment="1">
      <alignment horizontal="left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9" fontId="5" fillId="4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0" borderId="2" xfId="0" applyFont="1" applyBorder="1"/>
    <xf numFmtId="9" fontId="5" fillId="4" borderId="2" xfId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9" fontId="5" fillId="5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right" vertical="center"/>
    </xf>
    <xf numFmtId="9" fontId="5" fillId="5" borderId="2" xfId="0" applyNumberFormat="1" applyFont="1" applyFill="1" applyBorder="1" applyAlignment="1">
      <alignment vertical="center"/>
    </xf>
    <xf numFmtId="167" fontId="5" fillId="5" borderId="2" xfId="1" applyNumberFormat="1" applyFont="1" applyFill="1" applyBorder="1" applyAlignment="1">
      <alignment horizontal="right" vertical="center"/>
    </xf>
    <xf numFmtId="0" fontId="12" fillId="2" borderId="0" xfId="0" applyFont="1" applyFill="1"/>
    <xf numFmtId="0" fontId="5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169" fontId="4" fillId="2" borderId="2" xfId="4" applyNumberFormat="1" applyFont="1" applyFill="1" applyBorder="1" applyAlignment="1">
      <alignment vertical="center" wrapText="1"/>
    </xf>
    <xf numFmtId="9" fontId="4" fillId="2" borderId="2" xfId="0" applyNumberFormat="1" applyFont="1" applyFill="1" applyBorder="1" applyAlignment="1">
      <alignment vertical="center" wrapText="1"/>
    </xf>
    <xf numFmtId="169" fontId="14" fillId="2" borderId="2" xfId="4" applyNumberFormat="1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/>
    <xf numFmtId="2" fontId="5" fillId="5" borderId="2" xfId="0" applyNumberFormat="1" applyFont="1" applyFill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5">
    <cellStyle name="Hyperlink" xfId="2" xr:uid="{00000000-0005-0000-0000-000000000000}"/>
    <cellStyle name="Normal" xfId="0" builtinId="0"/>
    <cellStyle name="Normal 2" xfId="4" xr:uid="{00000000-0005-0000-0000-000002000000}"/>
    <cellStyle name="Normal 4" xfId="3" xr:uid="{00000000-0005-0000-0000-000003000000}"/>
    <cellStyle name="Percent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defaultColWidth="9.7109375" defaultRowHeight="15" x14ac:dyDescent="0.25"/>
  <cols>
    <col min="1" max="1" width="4.7109375" style="1" customWidth="1"/>
    <col min="2" max="2" width="35.42578125" style="1" customWidth="1"/>
    <col min="3" max="3" width="30.42578125" style="1" customWidth="1"/>
    <col min="4" max="4" width="11.28515625" style="1" customWidth="1"/>
    <col min="5" max="11" width="9.7109375" style="1" customWidth="1"/>
    <col min="12" max="12" width="11.7109375" style="1" customWidth="1"/>
    <col min="13" max="13" width="22.28515625" style="1" customWidth="1"/>
    <col min="14" max="14" width="17.28515625" style="1" customWidth="1"/>
    <col min="15" max="15" width="12.7109375" style="6" customWidth="1"/>
    <col min="16" max="16" width="10.28515625" style="1" customWidth="1"/>
    <col min="17" max="17" width="12.28515625" style="1" customWidth="1"/>
    <col min="18" max="18" width="10" style="1" customWidth="1"/>
    <col min="19" max="19" width="11.5703125" style="1" customWidth="1"/>
    <col min="20" max="21" width="11.7109375" style="1" customWidth="1"/>
    <col min="22" max="16384" width="9.7109375" style="1"/>
  </cols>
  <sheetData>
    <row r="1" spans="1:21" ht="17.45" customHeight="1" x14ac:dyDescent="0.3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 t="s">
        <v>1</v>
      </c>
    </row>
    <row r="2" spans="1:21" s="2" customFormat="1" ht="26.1" customHeight="1" x14ac:dyDescent="0.2">
      <c r="A2" s="2" t="s">
        <v>2</v>
      </c>
      <c r="C2" s="3" t="s">
        <v>3</v>
      </c>
      <c r="N2" s="4"/>
      <c r="R2" s="89"/>
    </row>
    <row r="3" spans="1:21" ht="28.5" x14ac:dyDescent="0.25">
      <c r="A3" s="86" t="s">
        <v>4</v>
      </c>
      <c r="B3" s="86" t="s">
        <v>5</v>
      </c>
      <c r="C3" s="86" t="s">
        <v>6</v>
      </c>
      <c r="D3" s="85" t="s">
        <v>7</v>
      </c>
      <c r="E3" s="85" t="s">
        <v>8</v>
      </c>
      <c r="F3" s="85" t="s">
        <v>9</v>
      </c>
      <c r="G3" s="85"/>
      <c r="H3" s="85"/>
      <c r="I3" s="85" t="s">
        <v>10</v>
      </c>
      <c r="J3" s="85"/>
      <c r="K3" s="85"/>
      <c r="L3" s="5" t="s">
        <v>11</v>
      </c>
      <c r="M3" s="85" t="s">
        <v>12</v>
      </c>
      <c r="N3" s="85"/>
      <c r="O3" s="85" t="s">
        <v>13</v>
      </c>
      <c r="P3" s="86" t="s">
        <v>14</v>
      </c>
      <c r="Q3" s="86"/>
      <c r="R3" s="86"/>
    </row>
    <row r="4" spans="1:21" s="6" customFormat="1" x14ac:dyDescent="0.25">
      <c r="A4" s="86"/>
      <c r="B4" s="86"/>
      <c r="C4" s="86"/>
      <c r="D4" s="85"/>
      <c r="E4" s="85"/>
      <c r="F4" s="86" t="s">
        <v>15</v>
      </c>
      <c r="G4" s="86" t="s">
        <v>16</v>
      </c>
      <c r="H4" s="86" t="s">
        <v>17</v>
      </c>
      <c r="I4" s="86" t="s">
        <v>18</v>
      </c>
      <c r="J4" s="86" t="s">
        <v>19</v>
      </c>
      <c r="K4" s="86" t="s">
        <v>20</v>
      </c>
      <c r="L4" s="86" t="s">
        <v>21</v>
      </c>
      <c r="M4" s="86" t="s">
        <v>22</v>
      </c>
      <c r="N4" s="86" t="s">
        <v>23</v>
      </c>
      <c r="O4" s="85"/>
      <c r="P4" s="86"/>
      <c r="Q4" s="86"/>
      <c r="R4" s="86"/>
    </row>
    <row r="5" spans="1:21" s="6" customFormat="1" ht="79.5" customHeight="1" x14ac:dyDescent="0.25">
      <c r="A5" s="86"/>
      <c r="B5" s="86"/>
      <c r="C5" s="86"/>
      <c r="D5" s="85"/>
      <c r="E5" s="85"/>
      <c r="F5" s="86"/>
      <c r="G5" s="86"/>
      <c r="H5" s="86"/>
      <c r="I5" s="86"/>
      <c r="J5" s="86"/>
      <c r="K5" s="86"/>
      <c r="L5" s="86"/>
      <c r="M5" s="86"/>
      <c r="N5" s="86"/>
      <c r="O5" s="85"/>
      <c r="P5" s="5" t="s">
        <v>24</v>
      </c>
      <c r="Q5" s="5" t="s">
        <v>25</v>
      </c>
      <c r="R5" s="5" t="s">
        <v>26</v>
      </c>
    </row>
    <row r="6" spans="1:21" s="6" customFormat="1" x14ac:dyDescent="0.25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32</v>
      </c>
      <c r="H6" s="7" t="s">
        <v>32</v>
      </c>
      <c r="I6" s="7" t="s">
        <v>33</v>
      </c>
      <c r="J6" s="7" t="s">
        <v>33</v>
      </c>
      <c r="K6" s="7" t="s">
        <v>33</v>
      </c>
      <c r="L6" s="7" t="s">
        <v>34</v>
      </c>
      <c r="M6" s="7" t="s">
        <v>34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</row>
    <row r="7" spans="1:21" s="6" customFormat="1" x14ac:dyDescent="0.25">
      <c r="A7" s="8" t="s">
        <v>40</v>
      </c>
      <c r="B7" s="9" t="s">
        <v>41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0"/>
      <c r="P7" s="10"/>
      <c r="Q7" s="8"/>
      <c r="R7" s="11"/>
    </row>
    <row r="8" spans="1:21" s="21" customFormat="1" x14ac:dyDescent="0.25">
      <c r="A8" s="12">
        <v>1</v>
      </c>
      <c r="B8" s="13"/>
      <c r="C8" s="14"/>
      <c r="D8" s="12"/>
      <c r="E8" s="15"/>
      <c r="F8" s="16"/>
      <c r="G8" s="17"/>
      <c r="H8" s="17"/>
      <c r="I8" s="14"/>
      <c r="J8" s="16"/>
      <c r="K8" s="14"/>
      <c r="L8" s="17"/>
      <c r="M8" s="17"/>
      <c r="N8" s="12"/>
      <c r="O8" s="18"/>
      <c r="P8" s="19"/>
      <c r="Q8" s="16"/>
      <c r="R8" s="16">
        <f>Q8*E8</f>
        <v>0</v>
      </c>
      <c r="S8" s="20"/>
      <c r="U8" s="22"/>
    </row>
    <row r="9" spans="1:21" s="21" customFormat="1" ht="15.75" x14ac:dyDescent="0.25">
      <c r="A9" s="12">
        <v>2</v>
      </c>
      <c r="B9" s="13"/>
      <c r="C9" s="23"/>
      <c r="D9" s="24"/>
      <c r="E9" s="15"/>
      <c r="F9" s="16"/>
      <c r="G9" s="17"/>
      <c r="H9" s="17"/>
      <c r="I9" s="14"/>
      <c r="J9" s="16"/>
      <c r="K9" s="14"/>
      <c r="L9" s="17"/>
      <c r="M9" s="25"/>
      <c r="N9" s="25"/>
      <c r="O9" s="26"/>
      <c r="P9" s="27"/>
      <c r="Q9" s="16"/>
      <c r="R9" s="16">
        <f>Q9*E9</f>
        <v>0</v>
      </c>
      <c r="S9" s="20"/>
      <c r="T9" s="22"/>
    </row>
    <row r="10" spans="1:21" s="21" customFormat="1" x14ac:dyDescent="0.25">
      <c r="A10" s="12">
        <v>3</v>
      </c>
      <c r="B10" s="28"/>
      <c r="C10" s="29"/>
      <c r="D10" s="12"/>
      <c r="E10" s="15"/>
      <c r="F10" s="30"/>
      <c r="G10" s="17"/>
      <c r="H10" s="16"/>
      <c r="I10" s="16"/>
      <c r="J10" s="31"/>
      <c r="K10" s="16"/>
      <c r="L10" s="32"/>
      <c r="M10" s="16"/>
      <c r="N10" s="14"/>
      <c r="O10" s="18"/>
      <c r="P10" s="24"/>
      <c r="Q10" s="16"/>
      <c r="R10" s="16">
        <f t="shared" ref="R10:R12" si="0">Q10*E10</f>
        <v>0</v>
      </c>
    </row>
    <row r="11" spans="1:21" s="21" customFormat="1" x14ac:dyDescent="0.25">
      <c r="A11" s="12">
        <v>4</v>
      </c>
      <c r="B11" s="33"/>
      <c r="C11" s="34"/>
      <c r="D11" s="35"/>
      <c r="E11" s="15"/>
      <c r="F11" s="36"/>
      <c r="G11" s="17"/>
      <c r="H11" s="16"/>
      <c r="I11" s="16"/>
      <c r="J11" s="16"/>
      <c r="K11" s="16"/>
      <c r="L11" s="32"/>
      <c r="M11" s="16"/>
      <c r="N11" s="37"/>
      <c r="O11" s="18"/>
      <c r="P11" s="38"/>
      <c r="Q11" s="16"/>
      <c r="R11" s="16">
        <f t="shared" si="0"/>
        <v>0</v>
      </c>
    </row>
    <row r="12" spans="1:21" s="21" customFormat="1" ht="38.25" customHeight="1" x14ac:dyDescent="0.25">
      <c r="A12" s="12">
        <v>5</v>
      </c>
      <c r="B12" s="39"/>
      <c r="C12" s="25"/>
      <c r="D12" s="24"/>
      <c r="E12" s="15"/>
      <c r="F12" s="36"/>
      <c r="G12" s="17"/>
      <c r="H12" s="16"/>
      <c r="I12" s="16"/>
      <c r="J12" s="16"/>
      <c r="K12" s="16"/>
      <c r="L12" s="32"/>
      <c r="M12" s="16"/>
      <c r="N12" s="25"/>
      <c r="O12" s="18"/>
      <c r="P12" s="38"/>
      <c r="Q12" s="16"/>
      <c r="R12" s="16">
        <f t="shared" si="0"/>
        <v>0</v>
      </c>
    </row>
    <row r="13" spans="1:21" s="6" customFormat="1" x14ac:dyDescent="0.25">
      <c r="A13" s="40" t="s">
        <v>42</v>
      </c>
      <c r="B13" s="41" t="s">
        <v>43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2"/>
      <c r="P13" s="40"/>
      <c r="Q13" s="40"/>
      <c r="R13" s="40"/>
    </row>
    <row r="14" spans="1:21" hidden="1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  <c r="P14" s="43"/>
      <c r="Q14" s="43"/>
      <c r="R14" s="43"/>
    </row>
    <row r="15" spans="1:21" s="6" customFormat="1" x14ac:dyDescent="0.25">
      <c r="A15" s="40"/>
      <c r="B15" s="41" t="s">
        <v>44</v>
      </c>
      <c r="C15" s="42"/>
      <c r="D15" s="40"/>
      <c r="E15" s="45">
        <f>SUM(E8:E13)</f>
        <v>0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0"/>
      <c r="R15" s="40">
        <f>IFERROR(SUM(R8:R13)/E15,0)</f>
        <v>0</v>
      </c>
    </row>
    <row r="16" spans="1:21" s="6" customFormat="1" x14ac:dyDescent="0.25">
      <c r="A16" s="46" t="s">
        <v>45</v>
      </c>
      <c r="B16" s="47" t="s">
        <v>46</v>
      </c>
      <c r="C16" s="48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6"/>
      <c r="R16" s="49">
        <f>IFERROR(R15/3*100,0)</f>
        <v>0</v>
      </c>
    </row>
    <row r="17" spans="1:18" s="6" customFormat="1" x14ac:dyDescent="0.25">
      <c r="A17" s="46" t="s">
        <v>47</v>
      </c>
      <c r="B17" s="47" t="s">
        <v>48</v>
      </c>
      <c r="C17" s="48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6"/>
      <c r="R17" s="46">
        <f>100-(R18+R21)</f>
        <v>100</v>
      </c>
    </row>
    <row r="18" spans="1:18" s="6" customFormat="1" x14ac:dyDescent="0.25">
      <c r="A18" s="50">
        <v>2.1</v>
      </c>
      <c r="B18" s="41" t="s">
        <v>49</v>
      </c>
      <c r="C18" s="42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0"/>
      <c r="R18" s="40">
        <f>SUM(R19:R20)</f>
        <v>0</v>
      </c>
    </row>
    <row r="19" spans="1:18" s="6" customFormat="1" hidden="1" x14ac:dyDescent="0.25">
      <c r="A19" s="51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4"/>
      <c r="R19" s="55"/>
    </row>
    <row r="20" spans="1:18" s="6" customFormat="1" hidden="1" x14ac:dyDescent="0.25">
      <c r="A20" s="51"/>
      <c r="B20" s="52"/>
      <c r="C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4"/>
      <c r="R20" s="55"/>
    </row>
    <row r="21" spans="1:18" s="6" customFormat="1" x14ac:dyDescent="0.25">
      <c r="A21" s="50">
        <v>2.2000000000000002</v>
      </c>
      <c r="B21" s="41" t="s">
        <v>50</v>
      </c>
      <c r="C21" s="42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0"/>
      <c r="R21" s="40">
        <f>SUM(R22:R23)</f>
        <v>0</v>
      </c>
    </row>
    <row r="22" spans="1:18" s="6" customFormat="1" hidden="1" x14ac:dyDescent="0.25">
      <c r="A22" s="55"/>
      <c r="B22" s="52"/>
      <c r="C22" s="55"/>
      <c r="D22" s="55"/>
      <c r="E22" s="54"/>
      <c r="F22" s="54"/>
      <c r="G22" s="54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spans="1:18" s="6" customFormat="1" hidden="1" x14ac:dyDescent="0.25">
      <c r="A23" s="55"/>
      <c r="B23" s="52"/>
      <c r="C23" s="55"/>
      <c r="D23" s="55"/>
      <c r="E23" s="54"/>
      <c r="F23" s="54"/>
      <c r="G23" s="54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spans="1:18" s="6" customFormat="1" x14ac:dyDescent="0.25">
      <c r="A24" s="40" t="s">
        <v>51</v>
      </c>
      <c r="B24" s="41" t="s">
        <v>26</v>
      </c>
      <c r="C24" s="42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0"/>
      <c r="R24" s="56">
        <f>IFERROR(R16*70%+R17*30%,0)</f>
        <v>30</v>
      </c>
    </row>
    <row r="25" spans="1:18" s="6" customFormat="1" x14ac:dyDescent="0.25">
      <c r="A25" s="40" t="s">
        <v>52</v>
      </c>
      <c r="B25" s="41" t="s">
        <v>53</v>
      </c>
      <c r="C25" s="42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0"/>
      <c r="R25" s="57" t="str">
        <f>IF(R24&gt;100,"A1",IF(R24&gt;90,"A",IF(R24&gt;70,"B",IF(R24&gt;=60,"C","D"))))</f>
        <v>D</v>
      </c>
    </row>
    <row r="26" spans="1:18" s="6" customFormat="1" x14ac:dyDescent="0.25">
      <c r="A26" s="46" t="s">
        <v>54</v>
      </c>
      <c r="B26" s="47" t="s">
        <v>55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9">
        <f>IF(R25="A",100%,IF(R25="A1",(100+R24-100)%,100%+(R24-100)%))</f>
        <v>0.30000000000000004</v>
      </c>
    </row>
    <row r="27" spans="1:18" ht="15.75" x14ac:dyDescent="0.25">
      <c r="P27" s="60" t="s">
        <v>56</v>
      </c>
    </row>
    <row r="28" spans="1:18" x14ac:dyDescent="0.25">
      <c r="B28" s="61" t="s">
        <v>57</v>
      </c>
      <c r="C28" s="62"/>
      <c r="D28" s="83" t="s">
        <v>58</v>
      </c>
      <c r="E28" s="83"/>
      <c r="F28" s="62"/>
      <c r="G28" s="62"/>
      <c r="H28" s="62"/>
      <c r="I28" s="62"/>
      <c r="J28" s="62"/>
      <c r="K28" s="62"/>
      <c r="N28" s="63"/>
      <c r="O28" s="64"/>
      <c r="Q28" s="65" t="s">
        <v>59</v>
      </c>
    </row>
    <row r="31" spans="1:18" x14ac:dyDescent="0.25">
      <c r="L31" s="84"/>
      <c r="M31" s="84"/>
      <c r="P31" s="84"/>
      <c r="Q31" s="84"/>
      <c r="R31" s="84"/>
    </row>
  </sheetData>
  <mergeCells count="24">
    <mergeCell ref="A1:Q1"/>
    <mergeCell ref="R1:R2"/>
    <mergeCell ref="A3:A5"/>
    <mergeCell ref="B3:B5"/>
    <mergeCell ref="C3:C5"/>
    <mergeCell ref="D3:D5"/>
    <mergeCell ref="E3:E5"/>
    <mergeCell ref="F3:H3"/>
    <mergeCell ref="I3:K3"/>
    <mergeCell ref="M3:N3"/>
    <mergeCell ref="N4:N5"/>
    <mergeCell ref="D28:E28"/>
    <mergeCell ref="L31:M31"/>
    <mergeCell ref="P31:R31"/>
    <mergeCell ref="O3:O5"/>
    <mergeCell ref="P3:R4"/>
    <mergeCell ref="F4:F5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"/>
  <sheetViews>
    <sheetView tabSelected="1" zoomScale="70" zoomScaleNormal="70" workbookViewId="0">
      <selection sqref="A1:Q1"/>
    </sheetView>
  </sheetViews>
  <sheetFormatPr defaultColWidth="9.7109375" defaultRowHeight="15" x14ac:dyDescent="0.25"/>
  <cols>
    <col min="1" max="1" width="4.7109375" style="1" customWidth="1"/>
    <col min="2" max="2" width="35.42578125" style="1" customWidth="1"/>
    <col min="3" max="3" width="30.42578125" style="1" customWidth="1"/>
    <col min="4" max="4" width="11.28515625" style="1" customWidth="1"/>
    <col min="5" max="11" width="9.7109375" style="1" customWidth="1"/>
    <col min="12" max="12" width="11.7109375" style="1" customWidth="1"/>
    <col min="13" max="13" width="22.28515625" style="1" customWidth="1"/>
    <col min="14" max="14" width="17.28515625" style="1" customWidth="1"/>
    <col min="15" max="15" width="26" style="6" customWidth="1"/>
    <col min="16" max="16" width="36" style="1" customWidth="1"/>
    <col min="17" max="17" width="12.28515625" style="1" customWidth="1"/>
    <col min="18" max="18" width="10" style="1" customWidth="1"/>
    <col min="19" max="19" width="11.5703125" style="1" customWidth="1"/>
    <col min="20" max="21" width="11.7109375" style="1" customWidth="1"/>
    <col min="22" max="16384" width="9.7109375" style="1"/>
  </cols>
  <sheetData>
    <row r="1" spans="1:21" ht="17.45" customHeight="1" x14ac:dyDescent="0.3">
      <c r="A1" s="87" t="s">
        <v>87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 t="s">
        <v>1</v>
      </c>
    </row>
    <row r="2" spans="1:21" s="2" customFormat="1" ht="26.1" customHeight="1" x14ac:dyDescent="0.2">
      <c r="A2" s="2" t="s">
        <v>60</v>
      </c>
      <c r="C2" s="3" t="s">
        <v>61</v>
      </c>
      <c r="N2" s="4"/>
      <c r="R2" s="89"/>
    </row>
    <row r="3" spans="1:21" ht="28.5" x14ac:dyDescent="0.25">
      <c r="A3" s="86" t="s">
        <v>4</v>
      </c>
      <c r="B3" s="86" t="s">
        <v>5</v>
      </c>
      <c r="C3" s="86" t="s">
        <v>6</v>
      </c>
      <c r="D3" s="85" t="s">
        <v>7</v>
      </c>
      <c r="E3" s="85" t="s">
        <v>8</v>
      </c>
      <c r="F3" s="85" t="s">
        <v>9</v>
      </c>
      <c r="G3" s="85"/>
      <c r="H3" s="85"/>
      <c r="I3" s="85" t="s">
        <v>10</v>
      </c>
      <c r="J3" s="85"/>
      <c r="K3" s="85"/>
      <c r="L3" s="5" t="s">
        <v>11</v>
      </c>
      <c r="M3" s="85" t="s">
        <v>12</v>
      </c>
      <c r="N3" s="85"/>
      <c r="O3" s="85" t="s">
        <v>13</v>
      </c>
      <c r="P3" s="86" t="s">
        <v>14</v>
      </c>
      <c r="Q3" s="86"/>
      <c r="R3" s="86"/>
    </row>
    <row r="4" spans="1:21" s="6" customFormat="1" x14ac:dyDescent="0.25">
      <c r="A4" s="86"/>
      <c r="B4" s="86"/>
      <c r="C4" s="86"/>
      <c r="D4" s="85"/>
      <c r="E4" s="85"/>
      <c r="F4" s="86" t="s">
        <v>15</v>
      </c>
      <c r="G4" s="86" t="s">
        <v>16</v>
      </c>
      <c r="H4" s="86" t="s">
        <v>17</v>
      </c>
      <c r="I4" s="86" t="s">
        <v>18</v>
      </c>
      <c r="J4" s="86" t="s">
        <v>19</v>
      </c>
      <c r="K4" s="86" t="s">
        <v>20</v>
      </c>
      <c r="L4" s="86" t="s">
        <v>21</v>
      </c>
      <c r="M4" s="86" t="s">
        <v>22</v>
      </c>
      <c r="N4" s="86" t="s">
        <v>23</v>
      </c>
      <c r="O4" s="85"/>
      <c r="P4" s="86"/>
      <c r="Q4" s="86"/>
      <c r="R4" s="86"/>
    </row>
    <row r="5" spans="1:21" s="6" customFormat="1" ht="79.5" customHeight="1" x14ac:dyDescent="0.25">
      <c r="A5" s="86"/>
      <c r="B5" s="86"/>
      <c r="C5" s="86"/>
      <c r="D5" s="85"/>
      <c r="E5" s="85"/>
      <c r="F5" s="86"/>
      <c r="G5" s="86"/>
      <c r="H5" s="86"/>
      <c r="I5" s="86"/>
      <c r="J5" s="86"/>
      <c r="K5" s="86"/>
      <c r="L5" s="86"/>
      <c r="M5" s="86"/>
      <c r="N5" s="86"/>
      <c r="O5" s="85"/>
      <c r="P5" s="5" t="s">
        <v>24</v>
      </c>
      <c r="Q5" s="5" t="s">
        <v>25</v>
      </c>
      <c r="R5" s="5" t="s">
        <v>26</v>
      </c>
    </row>
    <row r="6" spans="1:21" s="6" customFormat="1" x14ac:dyDescent="0.25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32</v>
      </c>
      <c r="H6" s="7" t="s">
        <v>32</v>
      </c>
      <c r="I6" s="7" t="s">
        <v>33</v>
      </c>
      <c r="J6" s="7" t="s">
        <v>33</v>
      </c>
      <c r="K6" s="7" t="s">
        <v>33</v>
      </c>
      <c r="L6" s="7" t="s">
        <v>34</v>
      </c>
      <c r="M6" s="7" t="s">
        <v>34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</row>
    <row r="7" spans="1:21" s="6" customFormat="1" x14ac:dyDescent="0.25">
      <c r="A7" s="8" t="s">
        <v>40</v>
      </c>
      <c r="B7" s="9" t="s">
        <v>41</v>
      </c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0"/>
      <c r="P7" s="10"/>
      <c r="Q7" s="8"/>
      <c r="R7" s="11"/>
    </row>
    <row r="8" spans="1:21" s="21" customFormat="1" ht="99.95" customHeight="1" x14ac:dyDescent="0.25">
      <c r="A8" s="12">
        <v>1</v>
      </c>
      <c r="B8" s="18" t="s">
        <v>62</v>
      </c>
      <c r="C8" s="14" t="s">
        <v>63</v>
      </c>
      <c r="D8" s="16" t="s">
        <v>64</v>
      </c>
      <c r="E8" s="66">
        <v>3</v>
      </c>
      <c r="F8" s="16"/>
      <c r="G8" s="17"/>
      <c r="H8" s="17"/>
      <c r="I8" s="14"/>
      <c r="J8" s="16"/>
      <c r="K8" s="14"/>
      <c r="L8" s="17"/>
      <c r="M8" s="17"/>
      <c r="N8" s="12"/>
      <c r="O8" s="18" t="s">
        <v>104</v>
      </c>
      <c r="P8" s="75" t="s">
        <v>100</v>
      </c>
      <c r="Q8" s="77">
        <v>2.5</v>
      </c>
      <c r="R8" s="78">
        <f>Q8*E8</f>
        <v>7.5</v>
      </c>
      <c r="S8" s="20"/>
      <c r="U8" s="22"/>
    </row>
    <row r="9" spans="1:21" s="21" customFormat="1" ht="99.95" customHeight="1" x14ac:dyDescent="0.25">
      <c r="A9" s="12">
        <v>2</v>
      </c>
      <c r="B9" s="23" t="s">
        <v>65</v>
      </c>
      <c r="C9" s="23" t="s">
        <v>66</v>
      </c>
      <c r="D9" s="16" t="s">
        <v>64</v>
      </c>
      <c r="E9" s="66">
        <v>3</v>
      </c>
      <c r="F9" s="16"/>
      <c r="G9" s="17"/>
      <c r="H9" s="17"/>
      <c r="I9" s="14"/>
      <c r="J9" s="16"/>
      <c r="K9" s="14"/>
      <c r="L9" s="17"/>
      <c r="M9" s="25"/>
      <c r="N9" s="25"/>
      <c r="O9" s="76" t="s">
        <v>88</v>
      </c>
      <c r="P9" s="27" t="s">
        <v>101</v>
      </c>
      <c r="Q9" s="77">
        <v>3</v>
      </c>
      <c r="R9" s="78">
        <f>Q9*E9</f>
        <v>9</v>
      </c>
      <c r="S9" s="20"/>
      <c r="T9" s="22"/>
    </row>
    <row r="10" spans="1:21" s="21" customFormat="1" ht="99.95" customHeight="1" x14ac:dyDescent="0.25">
      <c r="A10" s="12">
        <v>3</v>
      </c>
      <c r="B10" s="23" t="s">
        <v>67</v>
      </c>
      <c r="C10" s="23" t="s">
        <v>68</v>
      </c>
      <c r="D10" s="16" t="s">
        <v>69</v>
      </c>
      <c r="E10" s="66">
        <v>3</v>
      </c>
      <c r="F10" s="30"/>
      <c r="G10" s="17"/>
      <c r="H10" s="16"/>
      <c r="I10" s="16"/>
      <c r="J10" s="31"/>
      <c r="K10" s="16"/>
      <c r="L10" s="32"/>
      <c r="M10" s="16"/>
      <c r="N10" s="14"/>
      <c r="O10" s="18" t="s">
        <v>89</v>
      </c>
      <c r="P10" s="24" t="s">
        <v>102</v>
      </c>
      <c r="Q10" s="77">
        <v>3</v>
      </c>
      <c r="R10" s="78">
        <f t="shared" ref="R10:R16" si="0">Q10*E10</f>
        <v>9</v>
      </c>
    </row>
    <row r="11" spans="1:21" s="21" customFormat="1" ht="99.95" customHeight="1" x14ac:dyDescent="0.25">
      <c r="A11" s="12">
        <v>4</v>
      </c>
      <c r="B11" s="23" t="s">
        <v>70</v>
      </c>
      <c r="C11" s="23" t="s">
        <v>71</v>
      </c>
      <c r="D11" s="16" t="s">
        <v>69</v>
      </c>
      <c r="E11" s="66">
        <v>3</v>
      </c>
      <c r="F11" s="36"/>
      <c r="G11" s="17"/>
      <c r="H11" s="16"/>
      <c r="I11" s="16"/>
      <c r="J11" s="16"/>
      <c r="K11" s="16"/>
      <c r="L11" s="32"/>
      <c r="M11" s="16"/>
      <c r="N11" s="37"/>
      <c r="O11" s="18" t="s">
        <v>90</v>
      </c>
      <c r="P11" s="38"/>
      <c r="Q11" s="77">
        <v>3</v>
      </c>
      <c r="R11" s="78">
        <f t="shared" si="0"/>
        <v>9</v>
      </c>
    </row>
    <row r="12" spans="1:21" s="21" customFormat="1" ht="105" customHeight="1" x14ac:dyDescent="0.25">
      <c r="A12" s="12">
        <v>5</v>
      </c>
      <c r="B12" s="23" t="s">
        <v>72</v>
      </c>
      <c r="C12" s="23" t="s">
        <v>73</v>
      </c>
      <c r="D12" s="16" t="s">
        <v>74</v>
      </c>
      <c r="E12" s="66">
        <v>3</v>
      </c>
      <c r="F12" s="36"/>
      <c r="G12" s="17"/>
      <c r="H12" s="16"/>
      <c r="I12" s="16"/>
      <c r="J12" s="16"/>
      <c r="K12" s="16"/>
      <c r="L12" s="32"/>
      <c r="M12" s="16"/>
      <c r="N12" s="37"/>
      <c r="O12" s="18" t="s">
        <v>91</v>
      </c>
      <c r="P12" s="38" t="s">
        <v>92</v>
      </c>
      <c r="Q12" s="77">
        <v>3.5</v>
      </c>
      <c r="R12" s="78">
        <f>Q12*E12</f>
        <v>10.5</v>
      </c>
    </row>
    <row r="13" spans="1:21" s="21" customFormat="1" ht="99.95" customHeight="1" x14ac:dyDescent="0.25">
      <c r="A13" s="12">
        <v>6</v>
      </c>
      <c r="B13" s="67" t="s">
        <v>75</v>
      </c>
      <c r="C13" s="68" t="s">
        <v>76</v>
      </c>
      <c r="D13" s="16" t="s">
        <v>77</v>
      </c>
      <c r="E13" s="66">
        <v>3</v>
      </c>
      <c r="F13" s="36"/>
      <c r="G13" s="17"/>
      <c r="H13" s="16"/>
      <c r="I13" s="16"/>
      <c r="J13" s="16"/>
      <c r="K13" s="16"/>
      <c r="L13" s="32"/>
      <c r="M13" s="16"/>
      <c r="N13" s="37"/>
      <c r="O13" s="18" t="s">
        <v>93</v>
      </c>
      <c r="P13" s="38" t="s">
        <v>94</v>
      </c>
      <c r="Q13" s="77">
        <v>2</v>
      </c>
      <c r="R13" s="78">
        <f>Q13*E13</f>
        <v>6</v>
      </c>
    </row>
    <row r="14" spans="1:21" s="21" customFormat="1" ht="99.95" customHeight="1" x14ac:dyDescent="0.25">
      <c r="A14" s="12">
        <v>7</v>
      </c>
      <c r="B14" s="67" t="s">
        <v>78</v>
      </c>
      <c r="C14" s="16" t="s">
        <v>79</v>
      </c>
      <c r="D14" s="16" t="s">
        <v>80</v>
      </c>
      <c r="E14" s="66">
        <v>1</v>
      </c>
      <c r="F14" s="36"/>
      <c r="G14" s="17"/>
      <c r="H14" s="16"/>
      <c r="I14" s="16"/>
      <c r="J14" s="16"/>
      <c r="K14" s="16"/>
      <c r="L14" s="32"/>
      <c r="M14" s="16"/>
      <c r="N14" s="37"/>
      <c r="O14" s="18" t="s">
        <v>95</v>
      </c>
      <c r="P14" s="38" t="s">
        <v>96</v>
      </c>
      <c r="Q14" s="77">
        <v>1</v>
      </c>
      <c r="R14" s="78">
        <f>Q14*E14</f>
        <v>1</v>
      </c>
    </row>
    <row r="15" spans="1:21" s="21" customFormat="1" ht="99.95" customHeight="1" x14ac:dyDescent="0.25">
      <c r="A15" s="12">
        <v>8</v>
      </c>
      <c r="B15" s="71" t="s">
        <v>81</v>
      </c>
      <c r="C15" s="72" t="s">
        <v>82</v>
      </c>
      <c r="D15" s="73" t="s">
        <v>83</v>
      </c>
      <c r="E15" s="74">
        <v>2</v>
      </c>
      <c r="F15" s="36"/>
      <c r="G15" s="17"/>
      <c r="H15" s="16"/>
      <c r="I15" s="16"/>
      <c r="J15" s="16"/>
      <c r="K15" s="16"/>
      <c r="L15" s="32"/>
      <c r="M15" s="16"/>
      <c r="N15" s="37"/>
      <c r="O15" s="18" t="s">
        <v>97</v>
      </c>
      <c r="P15" s="38" t="s">
        <v>98</v>
      </c>
      <c r="Q15" s="77">
        <v>2</v>
      </c>
      <c r="R15" s="78">
        <f>Q15*E15</f>
        <v>4</v>
      </c>
    </row>
    <row r="16" spans="1:21" s="21" customFormat="1" ht="99.95" customHeight="1" x14ac:dyDescent="0.25">
      <c r="A16" s="12">
        <v>9</v>
      </c>
      <c r="B16" s="69" t="s">
        <v>84</v>
      </c>
      <c r="C16" s="16" t="s">
        <v>85</v>
      </c>
      <c r="D16" s="17" t="s">
        <v>86</v>
      </c>
      <c r="E16" s="16">
        <v>3</v>
      </c>
      <c r="F16" s="36"/>
      <c r="G16" s="17"/>
      <c r="H16" s="16"/>
      <c r="I16" s="16"/>
      <c r="J16" s="16"/>
      <c r="K16" s="16"/>
      <c r="L16" s="32"/>
      <c r="M16" s="16"/>
      <c r="N16" s="25"/>
      <c r="O16" s="18" t="s">
        <v>103</v>
      </c>
      <c r="P16" s="38"/>
      <c r="Q16" s="77">
        <v>3</v>
      </c>
      <c r="R16" s="78">
        <f t="shared" si="0"/>
        <v>9</v>
      </c>
    </row>
    <row r="17" spans="1:18" s="6" customFormat="1" x14ac:dyDescent="0.25">
      <c r="A17" s="40" t="s">
        <v>42</v>
      </c>
      <c r="B17" s="41" t="s">
        <v>43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2"/>
      <c r="P17" s="40"/>
      <c r="Q17" s="40"/>
      <c r="R17" s="79"/>
    </row>
    <row r="18" spans="1:18" hidden="1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  <c r="P18" s="43"/>
      <c r="Q18" s="43"/>
      <c r="R18" s="80"/>
    </row>
    <row r="19" spans="1:18" s="6" customFormat="1" x14ac:dyDescent="0.25">
      <c r="A19" s="40"/>
      <c r="B19" s="41" t="s">
        <v>44</v>
      </c>
      <c r="C19" s="42"/>
      <c r="D19" s="40"/>
      <c r="E19" s="70">
        <f>SUM(E8:E16)</f>
        <v>24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0"/>
      <c r="R19" s="79">
        <f>SUM(R8:R16)/E19</f>
        <v>2.7083333333333335</v>
      </c>
    </row>
    <row r="20" spans="1:18" s="6" customFormat="1" x14ac:dyDescent="0.25">
      <c r="A20" s="46" t="s">
        <v>45</v>
      </c>
      <c r="B20" s="47" t="s">
        <v>46</v>
      </c>
      <c r="C20" s="4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6"/>
      <c r="R20" s="81">
        <f>R19/3*100</f>
        <v>90.277777777777786</v>
      </c>
    </row>
    <row r="21" spans="1:18" s="6" customFormat="1" x14ac:dyDescent="0.25">
      <c r="A21" s="46" t="s">
        <v>47</v>
      </c>
      <c r="B21" s="47" t="s">
        <v>48</v>
      </c>
      <c r="C21" s="48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6"/>
      <c r="R21" s="46">
        <f>100-(R22+R25)</f>
        <v>100</v>
      </c>
    </row>
    <row r="22" spans="1:18" s="6" customFormat="1" x14ac:dyDescent="0.25">
      <c r="A22" s="50">
        <v>2.1</v>
      </c>
      <c r="B22" s="41" t="s">
        <v>49</v>
      </c>
      <c r="C22" s="42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0"/>
      <c r="R22" s="40">
        <f>SUM(R23:R24)</f>
        <v>0</v>
      </c>
    </row>
    <row r="23" spans="1:18" s="6" customFormat="1" hidden="1" x14ac:dyDescent="0.25">
      <c r="A23" s="51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4"/>
      <c r="R23" s="55">
        <v>0</v>
      </c>
    </row>
    <row r="24" spans="1:18" s="6" customFormat="1" hidden="1" x14ac:dyDescent="0.25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4"/>
      <c r="R24" s="55">
        <v>0</v>
      </c>
    </row>
    <row r="25" spans="1:18" s="6" customFormat="1" x14ac:dyDescent="0.25">
      <c r="A25" s="50">
        <v>2.2000000000000002</v>
      </c>
      <c r="B25" s="41" t="s">
        <v>50</v>
      </c>
      <c r="C25" s="42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0"/>
      <c r="R25" s="40">
        <f>SUM(R26:R27)</f>
        <v>0</v>
      </c>
    </row>
    <row r="26" spans="1:18" s="6" customFormat="1" hidden="1" x14ac:dyDescent="0.25">
      <c r="A26" s="55"/>
      <c r="B26" s="52"/>
      <c r="C26" s="55"/>
      <c r="D26" s="55"/>
      <c r="E26" s="54"/>
      <c r="F26" s="54"/>
      <c r="G26" s="54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>
        <v>0</v>
      </c>
    </row>
    <row r="27" spans="1:18" s="6" customFormat="1" hidden="1" x14ac:dyDescent="0.25">
      <c r="A27" s="55"/>
      <c r="B27" s="52"/>
      <c r="C27" s="55"/>
      <c r="D27" s="55"/>
      <c r="E27" s="54"/>
      <c r="F27" s="54"/>
      <c r="G27" s="54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>
        <v>0</v>
      </c>
    </row>
    <row r="28" spans="1:18" s="6" customFormat="1" x14ac:dyDescent="0.25">
      <c r="A28" s="40" t="s">
        <v>51</v>
      </c>
      <c r="B28" s="41" t="s">
        <v>26</v>
      </c>
      <c r="C28" s="42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2"/>
      <c r="Q28" s="40"/>
      <c r="R28" s="79">
        <f>R20*70%+R21*30%</f>
        <v>93.194444444444443</v>
      </c>
    </row>
    <row r="29" spans="1:18" s="6" customFormat="1" x14ac:dyDescent="0.25">
      <c r="A29" s="40" t="s">
        <v>52</v>
      </c>
      <c r="B29" s="41" t="s">
        <v>53</v>
      </c>
      <c r="C29" s="42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2"/>
      <c r="Q29" s="40"/>
      <c r="R29" s="57" t="str">
        <f>IF(R28&gt;100,"A1",IF(R28&gt;90,"A",IF(R28&gt;70,"B",IF(R28&gt;=60,"C","D"))))</f>
        <v>A</v>
      </c>
    </row>
    <row r="30" spans="1:18" s="6" customFormat="1" x14ac:dyDescent="0.25">
      <c r="A30" s="46" t="s">
        <v>54</v>
      </c>
      <c r="B30" s="47" t="s">
        <v>55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82">
        <f>IF(R29="A",100%,IF(R29="A1",(100+R28-100)%,100%+(R28-100)%))</f>
        <v>1</v>
      </c>
    </row>
    <row r="31" spans="1:18" ht="15.75" x14ac:dyDescent="0.25">
      <c r="P31" s="60" t="s">
        <v>99</v>
      </c>
    </row>
    <row r="32" spans="1:18" x14ac:dyDescent="0.25">
      <c r="B32" s="61" t="s">
        <v>57</v>
      </c>
      <c r="C32" s="62"/>
      <c r="D32" s="83" t="s">
        <v>58</v>
      </c>
      <c r="E32" s="83"/>
      <c r="F32" s="62"/>
      <c r="G32" s="62"/>
      <c r="H32" s="62"/>
      <c r="I32" s="62"/>
      <c r="J32" s="62"/>
      <c r="K32" s="62"/>
      <c r="N32" s="63"/>
      <c r="O32" s="64"/>
      <c r="Q32" s="65" t="s">
        <v>59</v>
      </c>
    </row>
    <row r="35" spans="12:18" x14ac:dyDescent="0.25">
      <c r="L35" s="84"/>
      <c r="M35" s="84"/>
      <c r="P35" s="84"/>
      <c r="Q35" s="84"/>
      <c r="R35" s="84"/>
    </row>
  </sheetData>
  <mergeCells count="24">
    <mergeCell ref="D32:E32"/>
    <mergeCell ref="L35:M35"/>
    <mergeCell ref="P35:R35"/>
    <mergeCell ref="O3:O5"/>
    <mergeCell ref="P3:R4"/>
    <mergeCell ref="F4:F5"/>
    <mergeCell ref="G4:G5"/>
    <mergeCell ref="H4:H5"/>
    <mergeCell ref="I4:I5"/>
    <mergeCell ref="J4:J5"/>
    <mergeCell ref="K4:K5"/>
    <mergeCell ref="L4:L5"/>
    <mergeCell ref="M4:M5"/>
    <mergeCell ref="A1:Q1"/>
    <mergeCell ref="R1:R2"/>
    <mergeCell ref="A3:A5"/>
    <mergeCell ref="B3:B5"/>
    <mergeCell ref="C3:C5"/>
    <mergeCell ref="D3:D5"/>
    <mergeCell ref="E3:E5"/>
    <mergeCell ref="F3:H3"/>
    <mergeCell ref="I3:K3"/>
    <mergeCell ref="M3:N3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KPI (Thắng)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</dc:creator>
  <cp:lastModifiedBy>EHS</cp:lastModifiedBy>
  <dcterms:created xsi:type="dcterms:W3CDTF">2026-10-02T03:04:52Z</dcterms:created>
  <dcterms:modified xsi:type="dcterms:W3CDTF">2026-10-02T03:04:55Z</dcterms:modified>
</cp:coreProperties>
</file>
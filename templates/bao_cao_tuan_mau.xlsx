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ắng-EHS\1. Biểu mẫu\Báo cáo tuần\"/>
    </mc:Choice>
  </mc:AlternateContent>
  <xr:revisionPtr revIDLastSave="0" documentId="13_ncr:1_{47BC7AEC-51AC-4B9E-8F73-C3C8BB2ACD77}" xr6:coauthVersionLast="47" xr6:coauthVersionMax="47" xr10:uidLastSave="{00000000-0000-0000-0000-000000000000}"/>
  <bookViews>
    <workbookView xWindow="-120" yWindow="-120" windowWidth="20730" windowHeight="11760" activeTab="3" xr2:uid="{D7CA5518-EB59-41B8-A983-34DDA9727AEA}"/>
  </bookViews>
  <sheets>
    <sheet name="T9 BC Tuần 1 - KH Tuần 2 T9" sheetId="1" r:id="rId1"/>
    <sheet name="T9 BC Tuần 2 - KH Tuần 3 T9" sheetId="2" r:id="rId2"/>
    <sheet name="T9 BC Tuần 3 - KH Tuần 4 T9" sheetId="3" r:id="rId3"/>
    <sheet name="T9 BC Tuần 4 - KH Tuần 1 T10" sheetId="4" r:id="rId4"/>
  </sheets>
  <definedNames>
    <definedName name="_xlnm.Print_Area" localSheetId="0">'T9 BC Tuần 1 - KH Tuần 2 T9'!$A$1:$J$38</definedName>
    <definedName name="_xlnm.Print_Area" localSheetId="1">'T9 BC Tuần 2 - KH Tuần 3 T9'!$A$1:$J$38</definedName>
    <definedName name="_xlnm.Print_Area" localSheetId="2">'T9 BC Tuần 3 - KH Tuần 4 T9'!$A$1:$J$38</definedName>
    <definedName name="_xlnm.Print_Area" localSheetId="3">'T9 BC Tuần 4 - KH Tuần 1 T10'!$A$1:$J$38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4" l="1"/>
  <c r="H26" i="4" s="1"/>
  <c r="H28" i="3"/>
  <c r="H26" i="3" s="1"/>
  <c r="H28" i="2"/>
  <c r="H26" i="2" s="1"/>
  <c r="H28" i="1"/>
  <c r="H26" i="1" s="1"/>
</calcChain>
</file>

<file path=xl/sharedStrings.xml><?xml version="1.0" encoding="utf-8"?>
<sst xmlns="http://schemas.openxmlformats.org/spreadsheetml/2006/main" count="444" uniqueCount="69">
  <si>
    <t xml:space="preserve">Đơn vị báo cáo: </t>
  </si>
  <si>
    <t>Phòng EHS</t>
  </si>
  <si>
    <t>Người báo cáo:</t>
  </si>
  <si>
    <t>Đặng Vũ Việt Thắng</t>
  </si>
  <si>
    <t>Tổng hợp đánh giá</t>
  </si>
  <si>
    <t>Tổng</t>
  </si>
  <si>
    <t>Đạt</t>
  </si>
  <si>
    <t>Không đạt</t>
  </si>
  <si>
    <t>Nhỏ</t>
  </si>
  <si>
    <t>Mục tiêu lớn</t>
  </si>
  <si>
    <t>Mục tiêu nhỏ</t>
  </si>
  <si>
    <t>STT</t>
  </si>
  <si>
    <r>
      <t xml:space="preserve">Nội dung Mục tiêu
</t>
    </r>
    <r>
      <rPr>
        <i/>
        <sz val="10"/>
        <color theme="1"/>
        <rFont val="Times New Roman"/>
        <family val="1"/>
      </rPr>
      <t xml:space="preserve"> (trọng tâm, đo lường được)</t>
    </r>
  </si>
  <si>
    <r>
      <t xml:space="preserve">Hành động
</t>
    </r>
    <r>
      <rPr>
        <i/>
        <sz val="10"/>
        <color theme="1"/>
        <rFont val="Times New Roman"/>
        <family val="1"/>
      </rPr>
      <t xml:space="preserve"> (diễn đạt cụ thể kế hoạch thực hiện)</t>
    </r>
  </si>
  <si>
    <t>Ngày bắt đầu</t>
  </si>
  <si>
    <t>Ngày kết thúc</t>
  </si>
  <si>
    <t>Người thực hiện</t>
  </si>
  <si>
    <t>Nhân sự
 phối hợp 
thực hiện</t>
  </si>
  <si>
    <t xml:space="preserve">Tình trạng </t>
  </si>
  <si>
    <t>Giải trình, Đề xuất, Ghi chú</t>
  </si>
  <si>
    <t>Chọn</t>
  </si>
  <si>
    <t>Thực hiện việc kiểm tra, cấp phát trang thiết bị an toàn, PCCC, thiết bị y tế theo xe, trong nhà máy</t>
  </si>
  <si>
    <t>Thắng</t>
  </si>
  <si>
    <t>Hoàng, Đạt</t>
  </si>
  <si>
    <t>Kiểm tra, theo dõi các thiết bị ứng phó sự cố trong và ngoài nhà máy.</t>
  </si>
  <si>
    <t>Kiếm tra thiết bị hàng ngày trong quá trình đi hiện trường</t>
  </si>
  <si>
    <t xml:space="preserve"> Báo cáo công tác an toàn và 5s định kỳ</t>
  </si>
  <si>
    <t xml:space="preserve">Làm SDS  bản tiếng việt </t>
  </si>
  <si>
    <t>Truyền thông, đào tạo nâng cao nhận thức chủ đề về an toàn giao thông, an toàn giao nhận hàng/ PPE/PCCC-CNCH/MT/5S</t>
  </si>
  <si>
    <t>Thực hiện việc tuân thủ quy định của công ty về quản lý nhân sự  theo đúng chính sách Công ty.</t>
  </si>
  <si>
    <t>Công tác báo cáo; phối hợp</t>
  </si>
  <si>
    <t>Thực hiện các quy định 5S</t>
  </si>
  <si>
    <t>Thực hiện việc kiểm tra, cấp phát trang thiết bị an toàn, PCCC, thiết bị y tế cho công nhân viên</t>
  </si>
  <si>
    <t>- Cấp phát trang thiết bị hàng ngày theo yêu cầu của bộ phận
- Rà soát thiết bị PCCC trong nhà máy</t>
  </si>
  <si>
    <t>Tổng hợp kế hoạch</t>
  </si>
  <si>
    <t xml:space="preserve"> </t>
  </si>
  <si>
    <t>Kiểm tra xe, cấp phát trang thiết bị hàng ngày theo yêu cầu của bộ phận</t>
  </si>
  <si>
    <t>Báo cáo công tác an toàn và 5s định kỳ</t>
  </si>
  <si>
    <t xml:space="preserve">Kiểm tra, báo cáo hàng ngày </t>
  </si>
  <si>
    <t>Làm mới + sửa đổi MSDS theo yêu cầu
Tiếp tục rà soát hoàn thiện hệ thống MDSD</t>
  </si>
  <si>
    <t>Cấp phát trang thiết bị hàng ngày theo yêu cầu của bộ phận</t>
  </si>
  <si>
    <r>
      <t xml:space="preserve">BÁO CÁO TUẦN 1 THÁNG 9 VÀ KẾ HOẠCH TUẦN 2 THÁNG 9
</t>
    </r>
    <r>
      <rPr>
        <i/>
        <sz val="15"/>
        <color theme="1"/>
        <rFont val="Times New Roman"/>
        <family val="1"/>
      </rPr>
      <t xml:space="preserve"> (Từ 31/8/2026 đến 12/9/2026)</t>
    </r>
  </si>
  <si>
    <t>Kiểm tra xe, cấp phát trang thiết bị hàng ngày theo yêu cầu của bộ phận. Đã kiểm tra xe: 89H-01479 (Vụ) + 89H-14741 (Du) + 89H-02096 (Quí)</t>
  </si>
  <si>
    <t>89H-01479 (Vụ): Thiếu cọc tiêu
89H-14741 (Du):Thiếu mặt nạ, kính BH, bình rửa mắt, giấy thấm, cục chèn, tạp zề
89H-02096 (Quí): Thiếu giấy thấm, túi cứu thương, biển báo chữ A, 1 bình PCCC sắp hết áp</t>
  </si>
  <si>
    <t>- Chỉnh sửa &amp; làm mới MSDS cho Ms.Nga (SL: 1)
- Rà soát + hoàn thiện MSDS (7 MSDS ~ 15 sheets)</t>
  </si>
  <si>
    <t>I/ KẾT QUẢ THỰC HIỆN CÔNG VIỆC TUẦN 31/8 - 5/9</t>
  </si>
  <si>
    <t>II/ KẾ HOẠCH CÔNG VIỆC TUẦN TỪ 07/09 ĐẾN 12/09</t>
  </si>
  <si>
    <r>
      <t xml:space="preserve">BÁO CÁO TUẦN 2 THÁNG 9 VÀ KẾ HOẠCH TUẦN 3 THÁNG 9
</t>
    </r>
    <r>
      <rPr>
        <i/>
        <sz val="15"/>
        <color theme="1"/>
        <rFont val="Times New Roman"/>
        <family val="1"/>
      </rPr>
      <t xml:space="preserve"> (Từ 07/9/2026 đến 19/9/2026)</t>
    </r>
  </si>
  <si>
    <t>I/ KẾT QUẢ THỰC HIỆN CÔNG VIỆC TUẦN 07/9 - 12/9</t>
  </si>
  <si>
    <t>II/ KẾ HOẠCH CÔNG VIỆC TUẦN TỪ 14/09 ĐẾN 19/09</t>
  </si>
  <si>
    <t>Kiểm tra xe, cấp phát trang thiết bị hàng ngày theo yêu cầu của bộ phận. Đã kiểm tra xe: 89G-00485 (Trụ) ,  89H-04590 (Hà)
Kiểm tra an toàn theo xe 89H-03012 (Đàn)</t>
  </si>
  <si>
    <t>889G-00485 (Trụ) (Thiếu quần óa chống HC +bình rửa mắt, giấy thấm HC, tạp dề, cọc tiêu)  
89H-04590 (Hà) (Thiếu bình rửa mắt, cọc tiêu)
89H-03012 (Đàn) (Thay đèn pin hỏng)</t>
  </si>
  <si>
    <t>Qua quá trình cấp phát bảo hộ và trang thiết bị bảo hộ, phòng nhận về nhiều ý kiến của các bộ phận về sự suy giảm chất lượng trang thiết bị bảo hộ như: đèn pin, quần áo BHLĐ,..Kiến nghị xem xét rà soát chất lượng PPE để phản ánh về bộ phận mua hàng.</t>
  </si>
  <si>
    <t>- Chỉnh sửa &amp; làm mới MSDS cho Ms.Nụ (SL: 3)
- Chỉnh sửa &amp; làm mới MSDS cho Ms.Oanh (SL: 1)
- Chỉnh sửa &amp; làm mới MSDS cho Mr.Trung Sale (SL: 1)
- Rà soát + hoàn thiện MSDS (8 MSDS ~ 35 sheets)</t>
  </si>
  <si>
    <r>
      <t xml:space="preserve">BÁO CÁO TUẦN 3 THÁNG 9 VÀ KẾ HOẠCH TUẦN 4 THÁNG 9
</t>
    </r>
    <r>
      <rPr>
        <i/>
        <sz val="15"/>
        <color theme="1"/>
        <rFont val="Times New Roman"/>
        <family val="1"/>
      </rPr>
      <t xml:space="preserve"> (Từ 14/9/2026 đến 26/9/2026)</t>
    </r>
  </si>
  <si>
    <t>I/ KẾT QUẢ THỰC HIỆN CÔNG VIỆC TUẦN 14/9 - 19/9</t>
  </si>
  <si>
    <t>II/ KẾ HOẠCH CÔNG VIỆC TUẦN TỪ 21/09 ĐẾN 26/09</t>
  </si>
  <si>
    <t>Kiểm tra xe, cấp phát trang thiết bị hàng ngày theo yêu cầu của bộ phận. Đã kiểm tra xe: 89H-05749 (Luân) ,  89H-09001 (Bình)
Kiểm tra an toàn theo xe 89H-03009 (Long)</t>
  </si>
  <si>
    <t>89H-05749 (Luân) ,  89H-09001 (Bình) =&gt; Đủ PPE
89H-03009 (Long) =&gt; Thuốc hết hạn =&gt; Cấp mới</t>
  </si>
  <si>
    <t>- Cấp phát trang thiết bị hàng ngày theo yêu cầu của bộ phận</t>
  </si>
  <si>
    <t>- Chuẩn bị hồ sơ PCCC</t>
  </si>
  <si>
    <t>- Chỉnh sửa &amp; làm mới MSDS ACV (SL: 3)
- Chỉnh sửa &amp; làm mới MSDS cho Ms.Hương (SL: 1)
- Chỉnh sửa &amp; làm mới MSDS cho Ms.Huyền Sale (SL: 4)
- Chỉnh sửa &amp; làm mới MSDS cho Ms.Thương (SL: 1)
- Chỉnh sửa &amp; làm mới MSDS cho Ms.Nga (SL: 1)
- Rà soát + hoàn thiện MSDS (6 MSDS ~ 10 sheets)</t>
  </si>
  <si>
    <r>
      <t xml:space="preserve">BÁO CÁO TUẦN 4 THÁNG 9 VÀ KẾ HOẠCH TUẦN 1 THÁNG 10
</t>
    </r>
    <r>
      <rPr>
        <i/>
        <sz val="15"/>
        <color theme="1"/>
        <rFont val="Times New Roman"/>
        <family val="1"/>
      </rPr>
      <t xml:space="preserve"> (Từ 21/9/2026 đến 03/10/2026)</t>
    </r>
  </si>
  <si>
    <t>I/ KẾT QUẢ THỰC HIỆN CÔNG VIỆC TUẦN 21/9 - 26/9</t>
  </si>
  <si>
    <t>II/ KẾ HOẠCH CÔNG VIỆC TUẦN TỪ 28/09 ĐẾN 03/10</t>
  </si>
  <si>
    <t>- Chuẩn bị hồ sơ Meiko</t>
  </si>
  <si>
    <t>- Chỉnh sửa &amp; làm mới MSDS cho Formosa (SL: 3)
- Chỉnh sửa &amp; làm mới MSDS cho Ms.Giang (SL: 1)
- Chỉnh sửa &amp; làm mới MSDS cho Ms.Nga (SL: 1)
- Rà soát + hoàn thiện MSDS (6 MSDS ~ 10 sheets)</t>
  </si>
  <si>
    <t>Kiểm tra xe, cấp phát trang thiết bị hàng ngày theo yêu cầu của bộ phận. Đã kiểm tra xe: 89H-00594 (Phong) ,  89H-03059 (Thuận)
Kiểm tra an toàn theo xe 89H-03012 Đàn)</t>
  </si>
  <si>
    <t>89H-00594 (Phong)=&gt; Bình cứu hỏa sắp hết áp =&gt; Đổi mới ,  89H-03059 (Thuận) =&gt; Đủ PPE
 89H-03012 Đàn) =&gt; Đủ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</si>
</sst>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[$-409]d/mmm;@"/>
    <numFmt numFmtId="166" formatCode="[$-409]d\-mmm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5"/>
      <color theme="1"/>
      <name val="Times New Roman"/>
      <family val="1"/>
    </font>
    <font>
      <i/>
      <sz val="15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165" fontId="14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3" fillId="0" borderId="4" xfId="0" applyFont="1" applyBorder="1"/>
    <xf numFmtId="0" fontId="8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9" fillId="0" borderId="0" xfId="0" applyFont="1"/>
    <xf numFmtId="0" fontId="8" fillId="0" borderId="4" xfId="0" applyFont="1" applyBorder="1"/>
    <xf numFmtId="0" fontId="8" fillId="3" borderId="4" xfId="0" applyFont="1" applyFill="1" applyBorder="1"/>
    <xf numFmtId="0" fontId="8" fillId="4" borderId="4" xfId="0" applyFont="1" applyFill="1" applyBorder="1"/>
    <xf numFmtId="0" fontId="8" fillId="5" borderId="4" xfId="0" applyFont="1" applyFill="1" applyBorder="1"/>
    <xf numFmtId="0" fontId="3" fillId="3" borderId="4" xfId="0" applyFont="1" applyFill="1" applyBorder="1"/>
    <xf numFmtId="0" fontId="3" fillId="4" borderId="4" xfId="0" applyFont="1" applyFill="1" applyBorder="1"/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13" fillId="5" borderId="4" xfId="0" quotePrefix="1" applyFont="1" applyFill="1" applyBorder="1" applyAlignment="1">
      <alignment horizontal="left" vertical="center" wrapText="1"/>
    </xf>
    <xf numFmtId="0" fontId="3" fillId="0" borderId="4" xfId="0" quotePrefix="1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4" xfId="2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6" fontId="13" fillId="5" borderId="4" xfId="3" applyNumberFormat="1" applyFont="1" applyFill="1" applyBorder="1" applyAlignment="1">
      <alignment vertical="center" wrapText="1"/>
    </xf>
    <xf numFmtId="166" fontId="13" fillId="5" borderId="5" xfId="3" applyNumberFormat="1" applyFont="1" applyFill="1" applyBorder="1" applyAlignment="1">
      <alignment vertical="center" wrapText="1"/>
    </xf>
    <xf numFmtId="0" fontId="15" fillId="5" borderId="4" xfId="0" applyFont="1" applyFill="1" applyBorder="1" applyAlignment="1">
      <alignment horizontal="left" vertical="center" wrapText="1"/>
    </xf>
    <xf numFmtId="166" fontId="15" fillId="5" borderId="4" xfId="3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6" fontId="15" fillId="5" borderId="0" xfId="3" applyNumberFormat="1" applyFont="1" applyFill="1" applyAlignment="1">
      <alignment vertical="center" wrapText="1"/>
    </xf>
    <xf numFmtId="0" fontId="3" fillId="0" borderId="0" xfId="0" quotePrefix="1" applyFont="1" applyAlignment="1">
      <alignment horizontal="left" vertical="center" wrapText="1"/>
    </xf>
    <xf numFmtId="0" fontId="2" fillId="0" borderId="0" xfId="2" applyFill="1" applyBorder="1" applyAlignment="1">
      <alignment horizontal="center" vertical="center"/>
    </xf>
    <xf numFmtId="9" fontId="11" fillId="0" borderId="0" xfId="1" quotePrefix="1" applyFont="1" applyBorder="1" applyAlignment="1">
      <alignment horizontal="left" vertical="center" wrapText="1"/>
    </xf>
    <xf numFmtId="9" fontId="11" fillId="0" borderId="0" xfId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horizontal="right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8" fillId="0" borderId="1" xfId="0" applyFont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11" fillId="0" borderId="4" xfId="0" applyFont="1" applyBorder="1" applyAlignment="1">
      <alignment wrapText="1"/>
    </xf>
    <xf numFmtId="9" fontId="11" fillId="0" borderId="4" xfId="1" applyFont="1" applyBorder="1" applyAlignment="1">
      <alignment horizontal="left" vertical="center" wrapText="1"/>
    </xf>
    <xf numFmtId="9" fontId="11" fillId="0" borderId="4" xfId="1" quotePrefix="1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wrapText="1"/>
    </xf>
    <xf numFmtId="9" fontId="11" fillId="0" borderId="4" xfId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9" fontId="11" fillId="0" borderId="4" xfId="1" applyFont="1" applyBorder="1" applyAlignment="1">
      <alignment horizontal="center" wrapText="1"/>
    </xf>
  </cellXfs>
  <cellStyles count="4">
    <cellStyle name="Good" xfId="2" builtinId="26"/>
    <cellStyle name="Normal" xfId="0" builtinId="0"/>
    <cellStyle name="Normal 2" xfId="3" xr:uid="{3ADAF872-C04D-4BF7-A5C0-7E19E6C7D353}"/>
    <cellStyle name="Percent" xfId="1" builtinId="5"/>
  </cellStyles>
  <dxfs count="4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25400</xdr:rowOff>
    </xdr:from>
    <xdr:to>
      <xdr:col>1</xdr:col>
      <xdr:colOff>298450</xdr:colOff>
      <xdr:row>0</xdr:row>
      <xdr:rowOff>488950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93055-F372-47CE-9F1D-B9D82A84C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5400"/>
          <a:ext cx="1400175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25400</xdr:rowOff>
    </xdr:from>
    <xdr:to>
      <xdr:col>1</xdr:col>
      <xdr:colOff>298450</xdr:colOff>
      <xdr:row>0</xdr:row>
      <xdr:rowOff>488950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3EE69-61AA-4309-A7B7-34352E2D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5400"/>
          <a:ext cx="1400175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25400</xdr:rowOff>
    </xdr:from>
    <xdr:to>
      <xdr:col>1</xdr:col>
      <xdr:colOff>298450</xdr:colOff>
      <xdr:row>0</xdr:row>
      <xdr:rowOff>488950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2AA11-5F07-44E9-A50D-259C73600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5400"/>
          <a:ext cx="1400175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25400</xdr:rowOff>
    </xdr:from>
    <xdr:to>
      <xdr:col>1</xdr:col>
      <xdr:colOff>298450</xdr:colOff>
      <xdr:row>0</xdr:row>
      <xdr:rowOff>488950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75F676-D933-4F5E-84CF-479B654AB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5400"/>
          <a:ext cx="1400175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FD5F-C833-4224-BB49-C2606503D709}">
  <dimension ref="A1:L38"/>
  <sheetViews>
    <sheetView view="pageBreakPreview" zoomScale="85" zoomScaleNormal="85" zoomScaleSheetLayoutView="85" workbookViewId="0">
      <pane ySplit="10" topLeftCell="A35" activePane="bottomLeft" state="frozen"/>
      <selection activeCell="C15" sqref="C15"/>
      <selection pane="bottomLeft" activeCell="C15" sqref="C15"/>
    </sheetView>
  </sheetViews>
  <sheetFormatPr defaultColWidth="8.7109375" defaultRowHeight="15" outlineLevelRow="1" x14ac:dyDescent="0.25"/>
  <cols>
    <col min="1" max="1" width="17.28515625" style="1" customWidth="1"/>
    <col min="2" max="2" width="29.7109375" style="1" customWidth="1"/>
    <col min="3" max="3" width="37.42578125" style="1" customWidth="1"/>
    <col min="4" max="4" width="10.5703125" style="1" customWidth="1"/>
    <col min="5" max="5" width="10.28515625" style="1" customWidth="1"/>
    <col min="6" max="6" width="12.5703125" style="1" customWidth="1"/>
    <col min="7" max="7" width="13" style="1" customWidth="1"/>
    <col min="8" max="9" width="9.7109375" style="1" customWidth="1"/>
    <col min="10" max="10" width="13.140625" style="1" customWidth="1"/>
    <col min="11" max="11" width="19.28515625" style="1" customWidth="1"/>
    <col min="12" max="16384" width="8.7109375" style="1"/>
  </cols>
  <sheetData>
    <row r="1" spans="1:12" ht="42.75" customHeight="1" x14ac:dyDescent="0.3">
      <c r="C1" s="2"/>
    </row>
    <row r="2" spans="1:12" ht="39.4" customHeight="1" x14ac:dyDescent="0.25">
      <c r="A2" s="66" t="s">
        <v>41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25">
      <c r="A3" s="4" t="s">
        <v>0</v>
      </c>
      <c r="B3" s="1" t="s">
        <v>1</v>
      </c>
    </row>
    <row r="4" spans="1:12" x14ac:dyDescent="0.25">
      <c r="A4" s="5" t="s">
        <v>2</v>
      </c>
      <c r="B4" s="1" t="s">
        <v>3</v>
      </c>
    </row>
    <row r="5" spans="1:12" ht="14.65" customHeight="1" x14ac:dyDescent="0.25">
      <c r="G5" s="60" t="s">
        <v>4</v>
      </c>
      <c r="H5" s="61"/>
      <c r="I5" s="61"/>
      <c r="J5" s="62"/>
    </row>
    <row r="6" spans="1:12" x14ac:dyDescent="0.25">
      <c r="G6" s="6"/>
      <c r="H6" s="7" t="s">
        <v>5</v>
      </c>
      <c r="I6" s="8" t="s">
        <v>6</v>
      </c>
      <c r="J6" s="9" t="s">
        <v>7</v>
      </c>
    </row>
    <row r="7" spans="1:12" x14ac:dyDescent="0.25">
      <c r="B7" s="10" t="s">
        <v>7</v>
      </c>
      <c r="G7" s="11" t="s">
        <v>5</v>
      </c>
      <c r="H7" s="11"/>
      <c r="I7" s="12"/>
      <c r="J7" s="13"/>
    </row>
    <row r="8" spans="1:12" x14ac:dyDescent="0.25">
      <c r="B8" s="10" t="s">
        <v>8</v>
      </c>
      <c r="G8" s="6" t="s">
        <v>9</v>
      </c>
      <c r="H8" s="14"/>
      <c r="I8" s="15"/>
      <c r="J8" s="16"/>
    </row>
    <row r="9" spans="1:12" x14ac:dyDescent="0.25">
      <c r="B9" s="10"/>
      <c r="G9" s="6" t="s">
        <v>10</v>
      </c>
      <c r="H9" s="14"/>
      <c r="I9" s="15"/>
      <c r="J9" s="16"/>
    </row>
    <row r="10" spans="1:12" s="18" customFormat="1" ht="43.15" customHeight="1" x14ac:dyDescent="0.25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  <c r="I10" s="63" t="s">
        <v>19</v>
      </c>
      <c r="J10" s="64"/>
      <c r="K10" s="1"/>
    </row>
    <row r="11" spans="1:12" s="21" customFormat="1" ht="26.45" customHeight="1" x14ac:dyDescent="0.25">
      <c r="A11" s="19"/>
      <c r="B11" s="68" t="s">
        <v>45</v>
      </c>
      <c r="C11" s="69"/>
      <c r="D11" s="69"/>
      <c r="E11" s="69"/>
      <c r="F11" s="69"/>
      <c r="G11" s="70"/>
      <c r="H11" s="20" t="s">
        <v>20</v>
      </c>
      <c r="I11" s="71"/>
      <c r="J11" s="71"/>
      <c r="K11" s="1"/>
    </row>
    <row r="12" spans="1:12" s="27" customFormat="1" ht="136.5" customHeight="1" x14ac:dyDescent="0.25">
      <c r="A12" s="22">
        <v>1</v>
      </c>
      <c r="B12" s="23" t="s">
        <v>21</v>
      </c>
      <c r="C12" s="24" t="s">
        <v>42</v>
      </c>
      <c r="D12" s="25">
        <v>46265</v>
      </c>
      <c r="E12" s="25">
        <v>46270</v>
      </c>
      <c r="F12" s="22" t="s">
        <v>22</v>
      </c>
      <c r="G12" s="22" t="s">
        <v>23</v>
      </c>
      <c r="H12" s="26" t="s">
        <v>6</v>
      </c>
      <c r="I12" s="55" t="s">
        <v>43</v>
      </c>
      <c r="J12" s="55"/>
      <c r="K12" s="1"/>
    </row>
    <row r="13" spans="1:12" ht="57.75" customHeight="1" x14ac:dyDescent="0.25">
      <c r="A13" s="28">
        <v>2</v>
      </c>
      <c r="B13" s="23" t="s">
        <v>24</v>
      </c>
      <c r="C13" s="24" t="s">
        <v>25</v>
      </c>
      <c r="D13" s="25">
        <v>46265</v>
      </c>
      <c r="E13" s="25">
        <v>46270</v>
      </c>
      <c r="F13" s="22" t="s">
        <v>22</v>
      </c>
      <c r="G13" s="22" t="s">
        <v>23</v>
      </c>
      <c r="H13" s="26" t="s">
        <v>6</v>
      </c>
      <c r="I13" s="55"/>
      <c r="J13" s="55"/>
    </row>
    <row r="14" spans="1:12" ht="51" customHeight="1" x14ac:dyDescent="0.25">
      <c r="A14" s="22">
        <v>3</v>
      </c>
      <c r="B14" s="23" t="s">
        <v>26</v>
      </c>
      <c r="C14" s="29"/>
      <c r="D14" s="25">
        <v>46265</v>
      </c>
      <c r="E14" s="25">
        <v>46270</v>
      </c>
      <c r="F14" s="22" t="s">
        <v>22</v>
      </c>
      <c r="G14" s="22" t="s">
        <v>23</v>
      </c>
      <c r="H14" s="26" t="s">
        <v>6</v>
      </c>
      <c r="I14" s="58"/>
      <c r="J14" s="58"/>
    </row>
    <row r="15" spans="1:12" ht="102" customHeight="1" x14ac:dyDescent="0.25">
      <c r="A15" s="28">
        <v>4</v>
      </c>
      <c r="B15" s="23" t="s">
        <v>27</v>
      </c>
      <c r="C15" s="24" t="s">
        <v>44</v>
      </c>
      <c r="D15" s="25">
        <v>46265</v>
      </c>
      <c r="E15" s="25">
        <v>46270</v>
      </c>
      <c r="F15" s="22" t="s">
        <v>22</v>
      </c>
      <c r="G15" s="6"/>
      <c r="H15" s="26" t="s">
        <v>6</v>
      </c>
      <c r="I15" s="55"/>
      <c r="J15" s="55"/>
    </row>
    <row r="16" spans="1:12" ht="106.15" customHeight="1" x14ac:dyDescent="0.25">
      <c r="A16" s="22">
        <v>5</v>
      </c>
      <c r="B16" s="30" t="s">
        <v>28</v>
      </c>
      <c r="C16" s="24"/>
      <c r="D16" s="25">
        <v>46265</v>
      </c>
      <c r="E16" s="25">
        <v>46270</v>
      </c>
      <c r="F16" s="22" t="s">
        <v>22</v>
      </c>
      <c r="G16" s="28" t="s">
        <v>23</v>
      </c>
      <c r="H16" s="26" t="s">
        <v>6</v>
      </c>
      <c r="I16" s="56"/>
      <c r="J16" s="55"/>
    </row>
    <row r="17" spans="1:10" ht="63" customHeight="1" x14ac:dyDescent="0.25">
      <c r="A17" s="28">
        <v>6</v>
      </c>
      <c r="B17" s="31" t="s">
        <v>29</v>
      </c>
      <c r="C17" s="24"/>
      <c r="D17" s="25">
        <v>46265</v>
      </c>
      <c r="E17" s="25">
        <v>46270</v>
      </c>
      <c r="F17" s="22" t="s">
        <v>22</v>
      </c>
      <c r="G17" s="6"/>
      <c r="H17" s="26" t="s">
        <v>6</v>
      </c>
      <c r="I17" s="56"/>
      <c r="J17" s="55"/>
    </row>
    <row r="18" spans="1:10" ht="46.5" customHeight="1" x14ac:dyDescent="0.25">
      <c r="A18" s="22">
        <v>7</v>
      </c>
      <c r="B18" s="32" t="s">
        <v>30</v>
      </c>
      <c r="C18" s="24"/>
      <c r="D18" s="25">
        <v>46265</v>
      </c>
      <c r="E18" s="25">
        <v>46270</v>
      </c>
      <c r="F18" s="22" t="s">
        <v>22</v>
      </c>
      <c r="G18" s="22" t="s">
        <v>23</v>
      </c>
      <c r="H18" s="26" t="s">
        <v>6</v>
      </c>
      <c r="I18" s="56"/>
      <c r="J18" s="55"/>
    </row>
    <row r="19" spans="1:10" ht="51.75" customHeight="1" x14ac:dyDescent="0.25">
      <c r="A19" s="28">
        <v>8</v>
      </c>
      <c r="B19" s="33" t="s">
        <v>31</v>
      </c>
      <c r="C19" s="24"/>
      <c r="D19" s="25">
        <v>46265</v>
      </c>
      <c r="E19" s="25">
        <v>46270</v>
      </c>
      <c r="F19" s="22" t="s">
        <v>22</v>
      </c>
      <c r="G19" s="6"/>
      <c r="H19" s="26" t="s">
        <v>6</v>
      </c>
      <c r="I19" s="56"/>
      <c r="J19" s="55"/>
    </row>
    <row r="20" spans="1:10" ht="86.25" customHeight="1" x14ac:dyDescent="0.25">
      <c r="A20" s="28">
        <v>9</v>
      </c>
      <c r="B20" s="33" t="s">
        <v>32</v>
      </c>
      <c r="C20" s="24" t="s">
        <v>33</v>
      </c>
      <c r="D20" s="25">
        <v>46265</v>
      </c>
      <c r="E20" s="25">
        <v>46270</v>
      </c>
      <c r="F20" s="22" t="s">
        <v>22</v>
      </c>
      <c r="G20" s="22" t="s">
        <v>23</v>
      </c>
      <c r="H20" s="26" t="s">
        <v>6</v>
      </c>
      <c r="I20" s="56"/>
      <c r="J20" s="55"/>
    </row>
    <row r="21" spans="1:10" x14ac:dyDescent="0.25">
      <c r="A21" s="3"/>
      <c r="B21" s="34"/>
      <c r="C21" s="35"/>
      <c r="D21" s="36"/>
      <c r="E21" s="36"/>
      <c r="F21" s="37"/>
      <c r="G21" s="3"/>
      <c r="I21" s="38"/>
      <c r="J21" s="38"/>
    </row>
    <row r="22" spans="1:10" ht="51.75" customHeight="1" x14ac:dyDescent="0.25">
      <c r="A22" s="3"/>
      <c r="B22" s="39"/>
      <c r="C22" s="40"/>
      <c r="D22" s="36"/>
      <c r="E22" s="36"/>
      <c r="F22" s="37"/>
      <c r="H22" s="41"/>
      <c r="I22" s="42"/>
      <c r="J22" s="43"/>
    </row>
    <row r="23" spans="1:10" ht="24.6" customHeight="1" x14ac:dyDescent="0.25">
      <c r="A23" s="44"/>
      <c r="B23" s="59" t="s">
        <v>46</v>
      </c>
      <c r="C23" s="59"/>
      <c r="D23" s="59"/>
      <c r="E23" s="59"/>
      <c r="F23" s="59"/>
      <c r="G23" s="59"/>
      <c r="H23" s="59"/>
      <c r="I23" s="59"/>
      <c r="J23" s="59"/>
    </row>
    <row r="24" spans="1:10" outlineLevel="1" x14ac:dyDescent="0.25">
      <c r="G24" s="60" t="s">
        <v>34</v>
      </c>
      <c r="H24" s="61"/>
      <c r="I24" s="61"/>
      <c r="J24" s="62"/>
    </row>
    <row r="25" spans="1:10" outlineLevel="1" x14ac:dyDescent="0.25">
      <c r="G25" s="6"/>
      <c r="H25" s="45" t="s">
        <v>5</v>
      </c>
      <c r="I25" s="46"/>
      <c r="J25" s="47"/>
    </row>
    <row r="26" spans="1:10" outlineLevel="1" x14ac:dyDescent="0.25">
      <c r="B26" s="10" t="s">
        <v>7</v>
      </c>
      <c r="G26" s="11" t="s">
        <v>5</v>
      </c>
      <c r="H26" s="48" t="e">
        <f>H27+H28</f>
        <v>#VALUE!</v>
      </c>
      <c r="I26" s="49"/>
      <c r="J26" s="50"/>
    </row>
    <row r="27" spans="1:10" outlineLevel="1" x14ac:dyDescent="0.25">
      <c r="B27" s="10" t="s">
        <v>8</v>
      </c>
      <c r="G27" s="6" t="s">
        <v>9</v>
      </c>
      <c r="H27" s="51" t="s">
        <v>35</v>
      </c>
      <c r="I27" s="52"/>
      <c r="J27" s="53"/>
    </row>
    <row r="28" spans="1:10" outlineLevel="1" x14ac:dyDescent="0.25">
      <c r="B28" s="10"/>
      <c r="G28" s="6" t="s">
        <v>10</v>
      </c>
      <c r="H28" s="51" t="e">
        <f>COUNTIF(#REF!,"Nhỏ")</f>
        <v>#REF!</v>
      </c>
      <c r="I28" s="52"/>
      <c r="J28" s="53"/>
    </row>
    <row r="29" spans="1:10" ht="55.15" customHeight="1" outlineLevel="1" x14ac:dyDescent="0.25">
      <c r="A29" s="17" t="s">
        <v>11</v>
      </c>
      <c r="B29" s="17" t="s">
        <v>12</v>
      </c>
      <c r="C29" s="17" t="s">
        <v>13</v>
      </c>
      <c r="D29" s="17" t="s">
        <v>14</v>
      </c>
      <c r="E29" s="17" t="s">
        <v>15</v>
      </c>
      <c r="F29" s="17" t="s">
        <v>16</v>
      </c>
      <c r="G29" s="17" t="s">
        <v>17</v>
      </c>
      <c r="H29" s="63" t="s">
        <v>19</v>
      </c>
      <c r="I29" s="64"/>
      <c r="J29" s="65"/>
    </row>
    <row r="30" spans="1:10" ht="64.5" customHeight="1" outlineLevel="1" x14ac:dyDescent="0.25">
      <c r="A30" s="22">
        <v>1</v>
      </c>
      <c r="B30" s="23" t="s">
        <v>21</v>
      </c>
      <c r="C30" s="24" t="s">
        <v>36</v>
      </c>
      <c r="D30" s="25">
        <v>46272</v>
      </c>
      <c r="E30" s="25">
        <v>46277</v>
      </c>
      <c r="F30" s="22" t="s">
        <v>22</v>
      </c>
      <c r="G30" s="22" t="s">
        <v>23</v>
      </c>
      <c r="H30" s="19"/>
      <c r="I30" s="57"/>
      <c r="J30" s="57"/>
    </row>
    <row r="31" spans="1:10" ht="60" customHeight="1" outlineLevel="1" x14ac:dyDescent="0.25">
      <c r="A31" s="28">
        <v>2</v>
      </c>
      <c r="B31" s="23" t="s">
        <v>24</v>
      </c>
      <c r="C31" s="24" t="s">
        <v>25</v>
      </c>
      <c r="D31" s="25">
        <v>46272</v>
      </c>
      <c r="E31" s="25">
        <v>46277</v>
      </c>
      <c r="F31" s="22" t="s">
        <v>22</v>
      </c>
      <c r="G31" s="22" t="s">
        <v>23</v>
      </c>
      <c r="H31" s="19"/>
      <c r="I31" s="57"/>
      <c r="J31" s="57"/>
    </row>
    <row r="32" spans="1:10" ht="36.75" customHeight="1" x14ac:dyDescent="0.25">
      <c r="A32" s="22">
        <v>3</v>
      </c>
      <c r="B32" s="23" t="s">
        <v>37</v>
      </c>
      <c r="C32" s="29" t="s">
        <v>38</v>
      </c>
      <c r="D32" s="25">
        <v>46272</v>
      </c>
      <c r="E32" s="25">
        <v>46277</v>
      </c>
      <c r="F32" s="22" t="s">
        <v>22</v>
      </c>
      <c r="G32" s="22" t="s">
        <v>23</v>
      </c>
      <c r="H32" s="54"/>
      <c r="I32" s="57"/>
      <c r="J32" s="57"/>
    </row>
    <row r="33" spans="1:10" ht="47.25" customHeight="1" x14ac:dyDescent="0.25">
      <c r="A33" s="28">
        <v>4</v>
      </c>
      <c r="B33" s="23" t="s">
        <v>27</v>
      </c>
      <c r="C33" s="24" t="s">
        <v>39</v>
      </c>
      <c r="D33" s="25">
        <v>46272</v>
      </c>
      <c r="E33" s="25">
        <v>46277</v>
      </c>
      <c r="F33" s="22" t="s">
        <v>22</v>
      </c>
      <c r="G33" s="22" t="s">
        <v>23</v>
      </c>
      <c r="H33" s="54"/>
      <c r="I33" s="57"/>
      <c r="J33" s="57"/>
    </row>
    <row r="34" spans="1:10" ht="69" customHeight="1" x14ac:dyDescent="0.25">
      <c r="A34" s="22">
        <v>5</v>
      </c>
      <c r="B34" s="30" t="s">
        <v>28</v>
      </c>
      <c r="C34" s="24"/>
      <c r="D34" s="25">
        <v>46272</v>
      </c>
      <c r="E34" s="25">
        <v>46277</v>
      </c>
      <c r="F34" s="22" t="s">
        <v>22</v>
      </c>
      <c r="G34" s="22" t="s">
        <v>23</v>
      </c>
      <c r="H34" s="54"/>
      <c r="I34" s="57"/>
      <c r="J34" s="57"/>
    </row>
    <row r="35" spans="1:10" ht="70.5" customHeight="1" x14ac:dyDescent="0.25">
      <c r="A35" s="28">
        <v>6</v>
      </c>
      <c r="B35" s="31" t="s">
        <v>29</v>
      </c>
      <c r="C35" s="24"/>
      <c r="D35" s="25">
        <v>46272</v>
      </c>
      <c r="E35" s="25">
        <v>46277</v>
      </c>
      <c r="F35" s="22" t="s">
        <v>22</v>
      </c>
      <c r="G35" s="6"/>
      <c r="H35" s="54"/>
      <c r="I35" s="57"/>
      <c r="J35" s="57"/>
    </row>
    <row r="36" spans="1:10" ht="36.6" customHeight="1" x14ac:dyDescent="0.25">
      <c r="A36" s="22">
        <v>7</v>
      </c>
      <c r="B36" s="32" t="s">
        <v>30</v>
      </c>
      <c r="C36" s="24"/>
      <c r="D36" s="25">
        <v>46272</v>
      </c>
      <c r="E36" s="25">
        <v>46277</v>
      </c>
      <c r="F36" s="22" t="s">
        <v>22</v>
      </c>
      <c r="G36" s="22" t="s">
        <v>23</v>
      </c>
      <c r="H36" s="54"/>
      <c r="I36" s="57"/>
      <c r="J36" s="57"/>
    </row>
    <row r="37" spans="1:10" ht="31.9" customHeight="1" x14ac:dyDescent="0.25">
      <c r="A37" s="28">
        <v>8</v>
      </c>
      <c r="B37" s="33" t="s">
        <v>31</v>
      </c>
      <c r="C37" s="24"/>
      <c r="D37" s="25">
        <v>46272</v>
      </c>
      <c r="E37" s="25">
        <v>46277</v>
      </c>
      <c r="F37" s="22" t="s">
        <v>22</v>
      </c>
      <c r="G37" s="6"/>
      <c r="H37" s="54"/>
      <c r="I37" s="55"/>
      <c r="J37" s="55"/>
    </row>
    <row r="38" spans="1:10" ht="86.25" customHeight="1" x14ac:dyDescent="0.25">
      <c r="A38" s="28">
        <v>9</v>
      </c>
      <c r="B38" s="33" t="s">
        <v>32</v>
      </c>
      <c r="C38" s="24" t="s">
        <v>40</v>
      </c>
      <c r="D38" s="25">
        <v>46272</v>
      </c>
      <c r="E38" s="25">
        <v>46277</v>
      </c>
      <c r="F38" s="22" t="s">
        <v>22</v>
      </c>
      <c r="G38" s="22" t="s">
        <v>23</v>
      </c>
      <c r="H38" s="26"/>
      <c r="I38" s="56"/>
      <c r="J38" s="55"/>
    </row>
  </sheetData>
  <dataConsolidate/>
  <mergeCells count="26">
    <mergeCell ref="I12:J12"/>
    <mergeCell ref="A2:L2"/>
    <mergeCell ref="G5:J5"/>
    <mergeCell ref="I10:J10"/>
    <mergeCell ref="B11:G11"/>
    <mergeCell ref="I11:J11"/>
    <mergeCell ref="I30:J30"/>
    <mergeCell ref="I13:J13"/>
    <mergeCell ref="I14:J14"/>
    <mergeCell ref="I15:J15"/>
    <mergeCell ref="I16:J16"/>
    <mergeCell ref="I17:J17"/>
    <mergeCell ref="I18:J18"/>
    <mergeCell ref="I19:J19"/>
    <mergeCell ref="I20:J20"/>
    <mergeCell ref="B23:J23"/>
    <mergeCell ref="G24:J24"/>
    <mergeCell ref="H29:J29"/>
    <mergeCell ref="I37:J37"/>
    <mergeCell ref="I38:J38"/>
    <mergeCell ref="I31:J31"/>
    <mergeCell ref="I32:J32"/>
    <mergeCell ref="I33:J33"/>
    <mergeCell ref="I34:J34"/>
    <mergeCell ref="I35:J35"/>
    <mergeCell ref="I36:J36"/>
  </mergeCells>
  <conditionalFormatting sqref="H12:H19">
    <cfRule type="expression" dxfId="47" priority="9">
      <formula>$H12="Không đạt"</formula>
    </cfRule>
    <cfRule type="expression" dxfId="46" priority="10">
      <formula>$H12="Đạt"</formula>
    </cfRule>
    <cfRule type="expression" dxfId="45" priority="11">
      <formula>"AND($I$9:$I$21=""Đạt"</formula>
    </cfRule>
    <cfRule type="containsText" dxfId="44" priority="12" operator="containsText" text="Không">
      <formula>NOT(ISERROR(SEARCH("Không",H12)))</formula>
    </cfRule>
  </conditionalFormatting>
  <conditionalFormatting sqref="H20 H22">
    <cfRule type="expression" dxfId="43" priority="5">
      <formula>$H20="Không đạt"</formula>
    </cfRule>
    <cfRule type="expression" dxfId="42" priority="6">
      <formula>$H20="Đạt"</formula>
    </cfRule>
    <cfRule type="expression" dxfId="41" priority="7">
      <formula>"AND($I$9:$I$21=""Đạt"</formula>
    </cfRule>
    <cfRule type="containsText" dxfId="40" priority="8" operator="containsText" text="Không">
      <formula>NOT(ISERROR(SEARCH("Không",H20)))</formula>
    </cfRule>
  </conditionalFormatting>
  <conditionalFormatting sqref="H38">
    <cfRule type="expression" dxfId="39" priority="1">
      <formula>$H38="Không đạt"</formula>
    </cfRule>
    <cfRule type="expression" dxfId="38" priority="2">
      <formula>$H38="Đạt"</formula>
    </cfRule>
    <cfRule type="expression" dxfId="37" priority="3">
      <formula>"AND($I$9:$I$21=""Đạt"</formula>
    </cfRule>
    <cfRule type="containsText" dxfId="36" priority="4" operator="containsText" text="Không">
      <formula>NOT(ISERROR(SEARCH("Không",H38)))</formula>
    </cfRule>
  </conditionalFormatting>
  <dataValidations count="1">
    <dataValidation type="list" allowBlank="1" showInputMessage="1" showErrorMessage="1" sqref="H38 H22 H12:H20" xr:uid="{96CE83C1-9443-495E-953F-CD0C00556099}">
      <formula1>$B$7:$B$7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25B1-DFDA-4447-B4E9-9DE3DFB0A498}">
  <dimension ref="A1:L38"/>
  <sheetViews>
    <sheetView view="pageBreakPreview" zoomScale="85" zoomScaleNormal="85" zoomScaleSheetLayoutView="85" workbookViewId="0">
      <pane ySplit="10" topLeftCell="A11" activePane="bottomLeft" state="frozen"/>
      <selection activeCell="C15" sqref="C15"/>
      <selection pane="bottomLeft" activeCell="K10" sqref="K10"/>
    </sheetView>
  </sheetViews>
  <sheetFormatPr defaultColWidth="8.7109375" defaultRowHeight="15" outlineLevelRow="1" x14ac:dyDescent="0.25"/>
  <cols>
    <col min="1" max="1" width="17.28515625" style="1" customWidth="1"/>
    <col min="2" max="2" width="29.7109375" style="1" customWidth="1"/>
    <col min="3" max="3" width="37.42578125" style="1" customWidth="1"/>
    <col min="4" max="4" width="10.5703125" style="1" customWidth="1"/>
    <col min="5" max="5" width="10.28515625" style="1" customWidth="1"/>
    <col min="6" max="6" width="12.5703125" style="1" customWidth="1"/>
    <col min="7" max="7" width="13" style="1" customWidth="1"/>
    <col min="8" max="9" width="9.7109375" style="1" customWidth="1"/>
    <col min="10" max="10" width="13.140625" style="1" customWidth="1"/>
    <col min="11" max="11" width="19.28515625" style="1" customWidth="1"/>
    <col min="12" max="16384" width="8.7109375" style="1"/>
  </cols>
  <sheetData>
    <row r="1" spans="1:12" ht="42.75" customHeight="1" x14ac:dyDescent="0.3">
      <c r="C1" s="2"/>
    </row>
    <row r="2" spans="1:12" ht="39.4" customHeight="1" x14ac:dyDescent="0.25">
      <c r="A2" s="66" t="s">
        <v>47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25">
      <c r="A3" s="4" t="s">
        <v>0</v>
      </c>
      <c r="B3" s="1" t="s">
        <v>1</v>
      </c>
    </row>
    <row r="4" spans="1:12" x14ac:dyDescent="0.25">
      <c r="A4" s="5" t="s">
        <v>2</v>
      </c>
      <c r="B4" s="1" t="s">
        <v>3</v>
      </c>
    </row>
    <row r="5" spans="1:12" ht="14.65" customHeight="1" x14ac:dyDescent="0.25">
      <c r="G5" s="60" t="s">
        <v>4</v>
      </c>
      <c r="H5" s="61"/>
      <c r="I5" s="61"/>
      <c r="J5" s="62"/>
    </row>
    <row r="6" spans="1:12" x14ac:dyDescent="0.25">
      <c r="G6" s="6"/>
      <c r="H6" s="7" t="s">
        <v>5</v>
      </c>
      <c r="I6" s="8" t="s">
        <v>6</v>
      </c>
      <c r="J6" s="9" t="s">
        <v>7</v>
      </c>
    </row>
    <row r="7" spans="1:12" x14ac:dyDescent="0.25">
      <c r="B7" s="10" t="s">
        <v>7</v>
      </c>
      <c r="G7" s="11" t="s">
        <v>5</v>
      </c>
      <c r="H7" s="11"/>
      <c r="I7" s="12"/>
      <c r="J7" s="13"/>
    </row>
    <row r="8" spans="1:12" x14ac:dyDescent="0.25">
      <c r="B8" s="10" t="s">
        <v>8</v>
      </c>
      <c r="G8" s="6" t="s">
        <v>9</v>
      </c>
      <c r="H8" s="14"/>
      <c r="I8" s="15"/>
      <c r="J8" s="16"/>
    </row>
    <row r="9" spans="1:12" x14ac:dyDescent="0.25">
      <c r="B9" s="10"/>
      <c r="G9" s="6" t="s">
        <v>10</v>
      </c>
      <c r="H9" s="14"/>
      <c r="I9" s="15"/>
      <c r="J9" s="16"/>
    </row>
    <row r="10" spans="1:12" s="18" customFormat="1" ht="43.15" customHeight="1" x14ac:dyDescent="0.25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  <c r="I10" s="63" t="s">
        <v>19</v>
      </c>
      <c r="J10" s="64"/>
      <c r="K10" s="1"/>
    </row>
    <row r="11" spans="1:12" s="21" customFormat="1" ht="26.45" customHeight="1" x14ac:dyDescent="0.25">
      <c r="A11" s="19"/>
      <c r="B11" s="68" t="s">
        <v>48</v>
      </c>
      <c r="C11" s="69"/>
      <c r="D11" s="69"/>
      <c r="E11" s="69"/>
      <c r="F11" s="69"/>
      <c r="G11" s="70"/>
      <c r="H11" s="20" t="s">
        <v>20</v>
      </c>
      <c r="I11" s="71"/>
      <c r="J11" s="71"/>
      <c r="K11" s="1"/>
    </row>
    <row r="12" spans="1:12" s="27" customFormat="1" ht="136.5" customHeight="1" x14ac:dyDescent="0.25">
      <c r="A12" s="22">
        <v>1</v>
      </c>
      <c r="B12" s="23" t="s">
        <v>21</v>
      </c>
      <c r="C12" s="24" t="s">
        <v>50</v>
      </c>
      <c r="D12" s="25">
        <v>46272</v>
      </c>
      <c r="E12" s="25">
        <v>46277</v>
      </c>
      <c r="F12" s="22" t="s">
        <v>22</v>
      </c>
      <c r="G12" s="22" t="s">
        <v>23</v>
      </c>
      <c r="H12" s="26" t="s">
        <v>6</v>
      </c>
      <c r="I12" s="55" t="s">
        <v>51</v>
      </c>
      <c r="J12" s="55"/>
      <c r="K12" s="1"/>
    </row>
    <row r="13" spans="1:12" ht="57.75" customHeight="1" x14ac:dyDescent="0.25">
      <c r="A13" s="28">
        <v>2</v>
      </c>
      <c r="B13" s="23" t="s">
        <v>24</v>
      </c>
      <c r="C13" s="24" t="s">
        <v>25</v>
      </c>
      <c r="D13" s="25">
        <v>46272</v>
      </c>
      <c r="E13" s="25">
        <v>46277</v>
      </c>
      <c r="F13" s="22" t="s">
        <v>22</v>
      </c>
      <c r="G13" s="22" t="s">
        <v>23</v>
      </c>
      <c r="H13" s="26" t="s">
        <v>6</v>
      </c>
      <c r="I13" s="55"/>
      <c r="J13" s="55"/>
    </row>
    <row r="14" spans="1:12" ht="51" customHeight="1" x14ac:dyDescent="0.25">
      <c r="A14" s="22">
        <v>3</v>
      </c>
      <c r="B14" s="23" t="s">
        <v>26</v>
      </c>
      <c r="C14" s="29"/>
      <c r="D14" s="25">
        <v>46272</v>
      </c>
      <c r="E14" s="25">
        <v>46277</v>
      </c>
      <c r="F14" s="22" t="s">
        <v>22</v>
      </c>
      <c r="G14" s="22" t="s">
        <v>23</v>
      </c>
      <c r="H14" s="26" t="s">
        <v>6</v>
      </c>
      <c r="I14" s="58"/>
      <c r="J14" s="58"/>
    </row>
    <row r="15" spans="1:12" ht="102" customHeight="1" x14ac:dyDescent="0.25">
      <c r="A15" s="28">
        <v>4</v>
      </c>
      <c r="B15" s="23" t="s">
        <v>27</v>
      </c>
      <c r="C15" s="24" t="s">
        <v>53</v>
      </c>
      <c r="D15" s="25">
        <v>46272</v>
      </c>
      <c r="E15" s="25">
        <v>46277</v>
      </c>
      <c r="F15" s="22" t="s">
        <v>22</v>
      </c>
      <c r="G15" s="6"/>
      <c r="H15" s="26" t="s">
        <v>6</v>
      </c>
      <c r="I15" s="55"/>
      <c r="J15" s="55"/>
    </row>
    <row r="16" spans="1:12" ht="106.15" customHeight="1" x14ac:dyDescent="0.25">
      <c r="A16" s="22">
        <v>5</v>
      </c>
      <c r="B16" s="30" t="s">
        <v>28</v>
      </c>
      <c r="C16" s="24"/>
      <c r="D16" s="25">
        <v>46272</v>
      </c>
      <c r="E16" s="25">
        <v>46277</v>
      </c>
      <c r="F16" s="22" t="s">
        <v>22</v>
      </c>
      <c r="G16" s="28" t="s">
        <v>23</v>
      </c>
      <c r="H16" s="26" t="s">
        <v>6</v>
      </c>
      <c r="I16" s="56"/>
      <c r="J16" s="55"/>
    </row>
    <row r="17" spans="1:10" ht="63" customHeight="1" x14ac:dyDescent="0.25">
      <c r="A17" s="28">
        <v>6</v>
      </c>
      <c r="B17" s="31" t="s">
        <v>29</v>
      </c>
      <c r="C17" s="24"/>
      <c r="D17" s="25">
        <v>46272</v>
      </c>
      <c r="E17" s="25">
        <v>46277</v>
      </c>
      <c r="F17" s="22" t="s">
        <v>22</v>
      </c>
      <c r="G17" s="6"/>
      <c r="H17" s="26" t="s">
        <v>6</v>
      </c>
      <c r="I17" s="56"/>
      <c r="J17" s="55"/>
    </row>
    <row r="18" spans="1:10" ht="46.5" customHeight="1" x14ac:dyDescent="0.25">
      <c r="A18" s="22">
        <v>7</v>
      </c>
      <c r="B18" s="32" t="s">
        <v>30</v>
      </c>
      <c r="C18" s="24"/>
      <c r="D18" s="25">
        <v>46272</v>
      </c>
      <c r="E18" s="25">
        <v>46277</v>
      </c>
      <c r="F18" s="22" t="s">
        <v>22</v>
      </c>
      <c r="G18" s="22" t="s">
        <v>23</v>
      </c>
      <c r="H18" s="26" t="s">
        <v>6</v>
      </c>
      <c r="I18" s="56"/>
      <c r="J18" s="55"/>
    </row>
    <row r="19" spans="1:10" ht="51.75" customHeight="1" x14ac:dyDescent="0.25">
      <c r="A19" s="28">
        <v>8</v>
      </c>
      <c r="B19" s="33" t="s">
        <v>31</v>
      </c>
      <c r="C19" s="24"/>
      <c r="D19" s="25">
        <v>46272</v>
      </c>
      <c r="E19" s="25">
        <v>46277</v>
      </c>
      <c r="F19" s="22" t="s">
        <v>22</v>
      </c>
      <c r="G19" s="6"/>
      <c r="H19" s="26" t="s">
        <v>6</v>
      </c>
      <c r="I19" s="56"/>
      <c r="J19" s="55"/>
    </row>
    <row r="20" spans="1:10" ht="86.25" customHeight="1" x14ac:dyDescent="0.25">
      <c r="A20" s="28">
        <v>9</v>
      </c>
      <c r="B20" s="33" t="s">
        <v>32</v>
      </c>
      <c r="C20" s="24" t="s">
        <v>33</v>
      </c>
      <c r="D20" s="25">
        <v>46272</v>
      </c>
      <c r="E20" s="25">
        <v>46277</v>
      </c>
      <c r="F20" s="22" t="s">
        <v>22</v>
      </c>
      <c r="G20" s="22" t="s">
        <v>23</v>
      </c>
      <c r="H20" s="26" t="s">
        <v>6</v>
      </c>
      <c r="I20" s="56" t="s">
        <v>52</v>
      </c>
      <c r="J20" s="55"/>
    </row>
    <row r="21" spans="1:10" x14ac:dyDescent="0.25">
      <c r="A21" s="3"/>
      <c r="B21" s="34"/>
      <c r="C21" s="35"/>
      <c r="D21" s="36"/>
      <c r="E21" s="36"/>
      <c r="F21" s="37"/>
      <c r="G21" s="3"/>
      <c r="I21" s="38"/>
      <c r="J21" s="38"/>
    </row>
    <row r="22" spans="1:10" ht="51.75" customHeight="1" x14ac:dyDescent="0.25">
      <c r="A22" s="3"/>
      <c r="B22" s="39"/>
      <c r="C22" s="40"/>
      <c r="D22" s="36"/>
      <c r="E22" s="36"/>
      <c r="F22" s="37"/>
      <c r="H22" s="41"/>
      <c r="I22" s="42"/>
      <c r="J22" s="43"/>
    </row>
    <row r="23" spans="1:10" ht="24.6" customHeight="1" x14ac:dyDescent="0.25">
      <c r="A23" s="44"/>
      <c r="B23" s="59" t="s">
        <v>49</v>
      </c>
      <c r="C23" s="59"/>
      <c r="D23" s="59"/>
      <c r="E23" s="59"/>
      <c r="F23" s="59"/>
      <c r="G23" s="59"/>
      <c r="H23" s="59"/>
      <c r="I23" s="59"/>
      <c r="J23" s="59"/>
    </row>
    <row r="24" spans="1:10" outlineLevel="1" x14ac:dyDescent="0.25">
      <c r="G24" s="60" t="s">
        <v>34</v>
      </c>
      <c r="H24" s="61"/>
      <c r="I24" s="61"/>
      <c r="J24" s="62"/>
    </row>
    <row r="25" spans="1:10" outlineLevel="1" x14ac:dyDescent="0.25">
      <c r="G25" s="6"/>
      <c r="H25" s="45" t="s">
        <v>5</v>
      </c>
      <c r="I25" s="46"/>
      <c r="J25" s="47"/>
    </row>
    <row r="26" spans="1:10" outlineLevel="1" x14ac:dyDescent="0.25">
      <c r="B26" s="10" t="s">
        <v>7</v>
      </c>
      <c r="G26" s="11" t="s">
        <v>5</v>
      </c>
      <c r="H26" s="48" t="e">
        <f>H27+H28</f>
        <v>#VALUE!</v>
      </c>
      <c r="I26" s="49"/>
      <c r="J26" s="50"/>
    </row>
    <row r="27" spans="1:10" outlineLevel="1" x14ac:dyDescent="0.25">
      <c r="B27" s="10" t="s">
        <v>8</v>
      </c>
      <c r="G27" s="6" t="s">
        <v>9</v>
      </c>
      <c r="H27" s="51" t="s">
        <v>35</v>
      </c>
      <c r="I27" s="52"/>
      <c r="J27" s="53"/>
    </row>
    <row r="28" spans="1:10" outlineLevel="1" x14ac:dyDescent="0.25">
      <c r="B28" s="10"/>
      <c r="G28" s="6" t="s">
        <v>10</v>
      </c>
      <c r="H28" s="51" t="e">
        <f>COUNTIF(#REF!,"Nhỏ")</f>
        <v>#REF!</v>
      </c>
      <c r="I28" s="52"/>
      <c r="J28" s="53"/>
    </row>
    <row r="29" spans="1:10" ht="55.15" customHeight="1" outlineLevel="1" x14ac:dyDescent="0.25">
      <c r="A29" s="17" t="s">
        <v>11</v>
      </c>
      <c r="B29" s="17" t="s">
        <v>12</v>
      </c>
      <c r="C29" s="17" t="s">
        <v>13</v>
      </c>
      <c r="D29" s="17" t="s">
        <v>14</v>
      </c>
      <c r="E29" s="17" t="s">
        <v>15</v>
      </c>
      <c r="F29" s="17" t="s">
        <v>16</v>
      </c>
      <c r="G29" s="17" t="s">
        <v>17</v>
      </c>
      <c r="H29" s="63" t="s">
        <v>19</v>
      </c>
      <c r="I29" s="64"/>
      <c r="J29" s="65"/>
    </row>
    <row r="30" spans="1:10" ht="64.5" customHeight="1" outlineLevel="1" x14ac:dyDescent="0.25">
      <c r="A30" s="22">
        <v>1</v>
      </c>
      <c r="B30" s="23" t="s">
        <v>21</v>
      </c>
      <c r="C30" s="24" t="s">
        <v>36</v>
      </c>
      <c r="D30" s="25">
        <v>46279</v>
      </c>
      <c r="E30" s="25">
        <v>46284</v>
      </c>
      <c r="F30" s="22" t="s">
        <v>22</v>
      </c>
      <c r="G30" s="22" t="s">
        <v>23</v>
      </c>
      <c r="H30" s="19"/>
      <c r="I30" s="57"/>
      <c r="J30" s="57"/>
    </row>
    <row r="31" spans="1:10" ht="60" customHeight="1" outlineLevel="1" x14ac:dyDescent="0.25">
      <c r="A31" s="28">
        <v>2</v>
      </c>
      <c r="B31" s="23" t="s">
        <v>24</v>
      </c>
      <c r="C31" s="24" t="s">
        <v>25</v>
      </c>
      <c r="D31" s="25">
        <v>46279</v>
      </c>
      <c r="E31" s="25">
        <v>46284</v>
      </c>
      <c r="F31" s="22" t="s">
        <v>22</v>
      </c>
      <c r="G31" s="22" t="s">
        <v>23</v>
      </c>
      <c r="H31" s="19"/>
      <c r="I31" s="57"/>
      <c r="J31" s="57"/>
    </row>
    <row r="32" spans="1:10" ht="36.75" customHeight="1" x14ac:dyDescent="0.25">
      <c r="A32" s="22">
        <v>3</v>
      </c>
      <c r="B32" s="23" t="s">
        <v>37</v>
      </c>
      <c r="C32" s="29" t="s">
        <v>38</v>
      </c>
      <c r="D32" s="25">
        <v>46279</v>
      </c>
      <c r="E32" s="25">
        <v>46284</v>
      </c>
      <c r="F32" s="22" t="s">
        <v>22</v>
      </c>
      <c r="G32" s="22" t="s">
        <v>23</v>
      </c>
      <c r="H32" s="54"/>
      <c r="I32" s="57"/>
      <c r="J32" s="57"/>
    </row>
    <row r="33" spans="1:10" ht="47.25" customHeight="1" x14ac:dyDescent="0.25">
      <c r="A33" s="28">
        <v>4</v>
      </c>
      <c r="B33" s="23" t="s">
        <v>27</v>
      </c>
      <c r="C33" s="24" t="s">
        <v>39</v>
      </c>
      <c r="D33" s="25">
        <v>46279</v>
      </c>
      <c r="E33" s="25">
        <v>46284</v>
      </c>
      <c r="F33" s="22" t="s">
        <v>22</v>
      </c>
      <c r="G33" s="22" t="s">
        <v>23</v>
      </c>
      <c r="H33" s="54"/>
      <c r="I33" s="57"/>
      <c r="J33" s="57"/>
    </row>
    <row r="34" spans="1:10" ht="69" customHeight="1" x14ac:dyDescent="0.25">
      <c r="A34" s="22">
        <v>5</v>
      </c>
      <c r="B34" s="30" t="s">
        <v>28</v>
      </c>
      <c r="C34" s="24"/>
      <c r="D34" s="25">
        <v>46279</v>
      </c>
      <c r="E34" s="25">
        <v>46284</v>
      </c>
      <c r="F34" s="22" t="s">
        <v>22</v>
      </c>
      <c r="G34" s="22" t="s">
        <v>23</v>
      </c>
      <c r="H34" s="54"/>
      <c r="I34" s="57"/>
      <c r="J34" s="57"/>
    </row>
    <row r="35" spans="1:10" ht="70.5" customHeight="1" x14ac:dyDescent="0.25">
      <c r="A35" s="28">
        <v>6</v>
      </c>
      <c r="B35" s="31" t="s">
        <v>29</v>
      </c>
      <c r="C35" s="24"/>
      <c r="D35" s="25">
        <v>46279</v>
      </c>
      <c r="E35" s="25">
        <v>46284</v>
      </c>
      <c r="F35" s="22" t="s">
        <v>22</v>
      </c>
      <c r="G35" s="6"/>
      <c r="H35" s="54"/>
      <c r="I35" s="57"/>
      <c r="J35" s="57"/>
    </row>
    <row r="36" spans="1:10" ht="36.6" customHeight="1" x14ac:dyDescent="0.25">
      <c r="A36" s="22">
        <v>7</v>
      </c>
      <c r="B36" s="32" t="s">
        <v>30</v>
      </c>
      <c r="C36" s="24"/>
      <c r="D36" s="25">
        <v>46279</v>
      </c>
      <c r="E36" s="25">
        <v>46284</v>
      </c>
      <c r="F36" s="22" t="s">
        <v>22</v>
      </c>
      <c r="G36" s="22" t="s">
        <v>23</v>
      </c>
      <c r="H36" s="54"/>
      <c r="I36" s="57"/>
      <c r="J36" s="57"/>
    </row>
    <row r="37" spans="1:10" ht="31.9" customHeight="1" x14ac:dyDescent="0.25">
      <c r="A37" s="28">
        <v>8</v>
      </c>
      <c r="B37" s="33" t="s">
        <v>31</v>
      </c>
      <c r="C37" s="24"/>
      <c r="D37" s="25">
        <v>46279</v>
      </c>
      <c r="E37" s="25">
        <v>46284</v>
      </c>
      <c r="F37" s="22" t="s">
        <v>22</v>
      </c>
      <c r="G37" s="6"/>
      <c r="H37" s="54"/>
      <c r="I37" s="55"/>
      <c r="J37" s="55"/>
    </row>
    <row r="38" spans="1:10" ht="86.25" customHeight="1" x14ac:dyDescent="0.25">
      <c r="A38" s="28">
        <v>9</v>
      </c>
      <c r="B38" s="33" t="s">
        <v>32</v>
      </c>
      <c r="C38" s="24" t="s">
        <v>40</v>
      </c>
      <c r="D38" s="25">
        <v>46279</v>
      </c>
      <c r="E38" s="25">
        <v>46284</v>
      </c>
      <c r="F38" s="22" t="s">
        <v>22</v>
      </c>
      <c r="G38" s="22" t="s">
        <v>23</v>
      </c>
      <c r="H38" s="26"/>
      <c r="I38" s="56"/>
      <c r="J38" s="55"/>
    </row>
  </sheetData>
  <dataConsolidate/>
  <mergeCells count="26">
    <mergeCell ref="I12:J12"/>
    <mergeCell ref="A2:L2"/>
    <mergeCell ref="G5:J5"/>
    <mergeCell ref="I10:J10"/>
    <mergeCell ref="B11:G11"/>
    <mergeCell ref="I11:J11"/>
    <mergeCell ref="I30:J30"/>
    <mergeCell ref="I13:J13"/>
    <mergeCell ref="I14:J14"/>
    <mergeCell ref="I15:J15"/>
    <mergeCell ref="I16:J16"/>
    <mergeCell ref="I17:J17"/>
    <mergeCell ref="I18:J18"/>
    <mergeCell ref="I19:J19"/>
    <mergeCell ref="I20:J20"/>
    <mergeCell ref="B23:J23"/>
    <mergeCell ref="G24:J24"/>
    <mergeCell ref="H29:J29"/>
    <mergeCell ref="I37:J37"/>
    <mergeCell ref="I38:J38"/>
    <mergeCell ref="I31:J31"/>
    <mergeCell ref="I32:J32"/>
    <mergeCell ref="I33:J33"/>
    <mergeCell ref="I34:J34"/>
    <mergeCell ref="I35:J35"/>
    <mergeCell ref="I36:J36"/>
  </mergeCells>
  <conditionalFormatting sqref="H12:H19">
    <cfRule type="expression" dxfId="35" priority="9">
      <formula>$H12="Không đạt"</formula>
    </cfRule>
    <cfRule type="expression" dxfId="34" priority="10">
      <formula>$H12="Đạt"</formula>
    </cfRule>
    <cfRule type="expression" dxfId="33" priority="11">
      <formula>"AND($I$9:$I$21=""Đạt"</formula>
    </cfRule>
    <cfRule type="containsText" dxfId="32" priority="12" operator="containsText" text="Không">
      <formula>NOT(ISERROR(SEARCH("Không",H12)))</formula>
    </cfRule>
  </conditionalFormatting>
  <conditionalFormatting sqref="H20 H22">
    <cfRule type="expression" dxfId="31" priority="5">
      <formula>$H20="Không đạt"</formula>
    </cfRule>
    <cfRule type="expression" dxfId="30" priority="6">
      <formula>$H20="Đạt"</formula>
    </cfRule>
    <cfRule type="expression" dxfId="29" priority="7">
      <formula>"AND($I$9:$I$21=""Đạt"</formula>
    </cfRule>
    <cfRule type="containsText" dxfId="28" priority="8" operator="containsText" text="Không">
      <formula>NOT(ISERROR(SEARCH("Không",H20)))</formula>
    </cfRule>
  </conditionalFormatting>
  <conditionalFormatting sqref="H38">
    <cfRule type="expression" dxfId="27" priority="1">
      <formula>$H38="Không đạt"</formula>
    </cfRule>
    <cfRule type="expression" dxfId="26" priority="2">
      <formula>$H38="Đạt"</formula>
    </cfRule>
    <cfRule type="expression" dxfId="25" priority="3">
      <formula>"AND($I$9:$I$21=""Đạt"</formula>
    </cfRule>
    <cfRule type="containsText" dxfId="24" priority="4" operator="containsText" text="Không">
      <formula>NOT(ISERROR(SEARCH("Không",H38)))</formula>
    </cfRule>
  </conditionalFormatting>
  <dataValidations count="1">
    <dataValidation type="list" allowBlank="1" showInputMessage="1" showErrorMessage="1" sqref="H38 H22 H12:H20" xr:uid="{76D3552E-5DA6-4E1C-857D-FECC3D230584}">
      <formula1>$B$7:$B$7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10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6692-59A1-4088-B865-47988FC77819}">
  <dimension ref="A1:L38"/>
  <sheetViews>
    <sheetView view="pageBreakPreview" zoomScale="85" zoomScaleNormal="85" zoomScaleSheetLayoutView="85" workbookViewId="0">
      <pane ySplit="10" topLeftCell="A31" activePane="bottomLeft" state="frozen"/>
      <selection activeCell="C15" sqref="C15"/>
      <selection pane="bottomLeft" activeCell="F33" sqref="F33"/>
    </sheetView>
  </sheetViews>
  <sheetFormatPr defaultColWidth="8.7109375" defaultRowHeight="15" outlineLevelRow="1" x14ac:dyDescent="0.25"/>
  <cols>
    <col min="1" max="1" width="17.28515625" style="1" customWidth="1"/>
    <col min="2" max="2" width="29.7109375" style="1" customWidth="1"/>
    <col min="3" max="3" width="37.42578125" style="1" customWidth="1"/>
    <col min="4" max="4" width="10.5703125" style="1" customWidth="1"/>
    <col min="5" max="5" width="10.28515625" style="1" customWidth="1"/>
    <col min="6" max="6" width="12.5703125" style="1" customWidth="1"/>
    <col min="7" max="7" width="13" style="1" customWidth="1"/>
    <col min="8" max="9" width="9.7109375" style="1" customWidth="1"/>
    <col min="10" max="10" width="13.140625" style="1" customWidth="1"/>
    <col min="11" max="11" width="19.28515625" style="1" customWidth="1"/>
    <col min="12" max="16384" width="8.7109375" style="1"/>
  </cols>
  <sheetData>
    <row r="1" spans="1:12" ht="42.75" customHeight="1" x14ac:dyDescent="0.3">
      <c r="C1" s="2"/>
    </row>
    <row r="2" spans="1:12" ht="39.4" customHeight="1" x14ac:dyDescent="0.25">
      <c r="A2" s="66" t="s">
        <v>54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25">
      <c r="A3" s="4" t="s">
        <v>0</v>
      </c>
      <c r="B3" s="1" t="s">
        <v>1</v>
      </c>
    </row>
    <row r="4" spans="1:12" x14ac:dyDescent="0.25">
      <c r="A4" s="5" t="s">
        <v>2</v>
      </c>
      <c r="B4" s="1" t="s">
        <v>3</v>
      </c>
    </row>
    <row r="5" spans="1:12" ht="14.65" customHeight="1" x14ac:dyDescent="0.25">
      <c r="G5" s="60" t="s">
        <v>4</v>
      </c>
      <c r="H5" s="61"/>
      <c r="I5" s="61"/>
      <c r="J5" s="62"/>
    </row>
    <row r="6" spans="1:12" x14ac:dyDescent="0.25">
      <c r="G6" s="6"/>
      <c r="H6" s="7" t="s">
        <v>5</v>
      </c>
      <c r="I6" s="8" t="s">
        <v>6</v>
      </c>
      <c r="J6" s="9" t="s">
        <v>7</v>
      </c>
    </row>
    <row r="7" spans="1:12" x14ac:dyDescent="0.25">
      <c r="B7" s="10" t="s">
        <v>7</v>
      </c>
      <c r="G7" s="11" t="s">
        <v>5</v>
      </c>
      <c r="H7" s="11"/>
      <c r="I7" s="12"/>
      <c r="J7" s="13"/>
    </row>
    <row r="8" spans="1:12" x14ac:dyDescent="0.25">
      <c r="B8" s="10" t="s">
        <v>8</v>
      </c>
      <c r="G8" s="6" t="s">
        <v>9</v>
      </c>
      <c r="H8" s="14"/>
      <c r="I8" s="15"/>
      <c r="J8" s="16"/>
    </row>
    <row r="9" spans="1:12" x14ac:dyDescent="0.25">
      <c r="B9" s="10"/>
      <c r="G9" s="6" t="s">
        <v>10</v>
      </c>
      <c r="H9" s="14"/>
      <c r="I9" s="15"/>
      <c r="J9" s="16"/>
    </row>
    <row r="10" spans="1:12" s="18" customFormat="1" ht="43.15" customHeight="1" x14ac:dyDescent="0.25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  <c r="I10" s="63" t="s">
        <v>19</v>
      </c>
      <c r="J10" s="64"/>
      <c r="K10" s="1"/>
    </row>
    <row r="11" spans="1:12" s="21" customFormat="1" ht="26.45" customHeight="1" x14ac:dyDescent="0.25">
      <c r="A11" s="19"/>
      <c r="B11" s="68" t="s">
        <v>55</v>
      </c>
      <c r="C11" s="69"/>
      <c r="D11" s="69"/>
      <c r="E11" s="69"/>
      <c r="F11" s="69"/>
      <c r="G11" s="70"/>
      <c r="H11" s="20" t="s">
        <v>20</v>
      </c>
      <c r="I11" s="71"/>
      <c r="J11" s="71"/>
      <c r="K11" s="1"/>
    </row>
    <row r="12" spans="1:12" s="27" customFormat="1" ht="136.5" customHeight="1" x14ac:dyDescent="0.25">
      <c r="A12" s="22">
        <v>1</v>
      </c>
      <c r="B12" s="23" t="s">
        <v>21</v>
      </c>
      <c r="C12" s="24" t="s">
        <v>57</v>
      </c>
      <c r="D12" s="25">
        <v>46279</v>
      </c>
      <c r="E12" s="25">
        <v>46284</v>
      </c>
      <c r="F12" s="22" t="s">
        <v>22</v>
      </c>
      <c r="G12" s="22" t="s">
        <v>23</v>
      </c>
      <c r="H12" s="26" t="s">
        <v>6</v>
      </c>
      <c r="I12" s="55" t="s">
        <v>58</v>
      </c>
      <c r="J12" s="55"/>
      <c r="K12" s="1"/>
    </row>
    <row r="13" spans="1:12" ht="57.75" customHeight="1" x14ac:dyDescent="0.25">
      <c r="A13" s="28">
        <v>2</v>
      </c>
      <c r="B13" s="23" t="s">
        <v>24</v>
      </c>
      <c r="C13" s="24" t="s">
        <v>25</v>
      </c>
      <c r="D13" s="25">
        <v>46279</v>
      </c>
      <c r="E13" s="25">
        <v>46284</v>
      </c>
      <c r="F13" s="22" t="s">
        <v>22</v>
      </c>
      <c r="G13" s="22" t="s">
        <v>23</v>
      </c>
      <c r="H13" s="26" t="s">
        <v>6</v>
      </c>
      <c r="I13" s="55"/>
      <c r="J13" s="55"/>
    </row>
    <row r="14" spans="1:12" ht="51" customHeight="1" x14ac:dyDescent="0.25">
      <c r="A14" s="22">
        <v>3</v>
      </c>
      <c r="B14" s="23" t="s">
        <v>26</v>
      </c>
      <c r="C14" s="29"/>
      <c r="D14" s="25">
        <v>46279</v>
      </c>
      <c r="E14" s="25">
        <v>46284</v>
      </c>
      <c r="F14" s="22" t="s">
        <v>22</v>
      </c>
      <c r="G14" s="22" t="s">
        <v>23</v>
      </c>
      <c r="H14" s="26" t="s">
        <v>6</v>
      </c>
      <c r="I14" s="58"/>
      <c r="J14" s="58"/>
    </row>
    <row r="15" spans="1:12" ht="102" customHeight="1" x14ac:dyDescent="0.25">
      <c r="A15" s="28">
        <v>4</v>
      </c>
      <c r="B15" s="23" t="s">
        <v>27</v>
      </c>
      <c r="C15" s="24" t="s">
        <v>61</v>
      </c>
      <c r="D15" s="25">
        <v>46279</v>
      </c>
      <c r="E15" s="25">
        <v>46284</v>
      </c>
      <c r="F15" s="22" t="s">
        <v>22</v>
      </c>
      <c r="G15" s="6"/>
      <c r="H15" s="26" t="s">
        <v>6</v>
      </c>
      <c r="I15" s="55"/>
      <c r="J15" s="55"/>
    </row>
    <row r="16" spans="1:12" ht="106.15" customHeight="1" x14ac:dyDescent="0.25">
      <c r="A16" s="22">
        <v>5</v>
      </c>
      <c r="B16" s="30" t="s">
        <v>28</v>
      </c>
      <c r="C16" s="24"/>
      <c r="D16" s="25">
        <v>46279</v>
      </c>
      <c r="E16" s="25">
        <v>46284</v>
      </c>
      <c r="F16" s="22" t="s">
        <v>22</v>
      </c>
      <c r="G16" s="28" t="s">
        <v>23</v>
      </c>
      <c r="H16" s="26" t="s">
        <v>6</v>
      </c>
      <c r="I16" s="56"/>
      <c r="J16" s="55"/>
    </row>
    <row r="17" spans="1:10" ht="63" customHeight="1" x14ac:dyDescent="0.25">
      <c r="A17" s="28">
        <v>6</v>
      </c>
      <c r="B17" s="31" t="s">
        <v>29</v>
      </c>
      <c r="C17" s="24"/>
      <c r="D17" s="25">
        <v>46279</v>
      </c>
      <c r="E17" s="25">
        <v>46284</v>
      </c>
      <c r="F17" s="22" t="s">
        <v>22</v>
      </c>
      <c r="G17" s="6"/>
      <c r="H17" s="26" t="s">
        <v>6</v>
      </c>
      <c r="I17" s="56"/>
      <c r="J17" s="55"/>
    </row>
    <row r="18" spans="1:10" ht="46.5" customHeight="1" x14ac:dyDescent="0.25">
      <c r="A18" s="22">
        <v>7</v>
      </c>
      <c r="B18" s="32" t="s">
        <v>30</v>
      </c>
      <c r="C18" s="24" t="s">
        <v>60</v>
      </c>
      <c r="D18" s="25">
        <v>46279</v>
      </c>
      <c r="E18" s="25">
        <v>46284</v>
      </c>
      <c r="F18" s="22" t="s">
        <v>22</v>
      </c>
      <c r="G18" s="22" t="s">
        <v>23</v>
      </c>
      <c r="H18" s="26" t="s">
        <v>6</v>
      </c>
      <c r="I18" s="56"/>
      <c r="J18" s="55"/>
    </row>
    <row r="19" spans="1:10" ht="51.75" customHeight="1" x14ac:dyDescent="0.25">
      <c r="A19" s="28">
        <v>8</v>
      </c>
      <c r="B19" s="33" t="s">
        <v>31</v>
      </c>
      <c r="C19" s="24"/>
      <c r="D19" s="25">
        <v>46279</v>
      </c>
      <c r="E19" s="25">
        <v>46284</v>
      </c>
      <c r="F19" s="22" t="s">
        <v>22</v>
      </c>
      <c r="G19" s="6"/>
      <c r="H19" s="26" t="s">
        <v>6</v>
      </c>
      <c r="I19" s="56"/>
      <c r="J19" s="55"/>
    </row>
    <row r="20" spans="1:10" ht="86.25" customHeight="1" x14ac:dyDescent="0.25">
      <c r="A20" s="28">
        <v>9</v>
      </c>
      <c r="B20" s="33" t="s">
        <v>32</v>
      </c>
      <c r="C20" s="24" t="s">
        <v>59</v>
      </c>
      <c r="D20" s="25">
        <v>46279</v>
      </c>
      <c r="E20" s="25">
        <v>46284</v>
      </c>
      <c r="F20" s="22" t="s">
        <v>22</v>
      </c>
      <c r="G20" s="22" t="s">
        <v>23</v>
      </c>
      <c r="H20" s="26" t="s">
        <v>6</v>
      </c>
      <c r="I20" s="56" t="s">
        <v>52</v>
      </c>
      <c r="J20" s="55"/>
    </row>
    <row r="21" spans="1:10" x14ac:dyDescent="0.25">
      <c r="A21" s="3"/>
      <c r="B21" s="34"/>
      <c r="C21" s="35"/>
      <c r="D21" s="36"/>
      <c r="E21" s="36"/>
      <c r="F21" s="37"/>
      <c r="G21" s="3"/>
      <c r="I21" s="38"/>
      <c r="J21" s="38"/>
    </row>
    <row r="22" spans="1:10" ht="51.75" customHeight="1" x14ac:dyDescent="0.25">
      <c r="A22" s="3"/>
      <c r="B22" s="39"/>
      <c r="C22" s="40"/>
      <c r="D22" s="36"/>
      <c r="E22" s="36"/>
      <c r="F22" s="37"/>
      <c r="H22" s="41"/>
      <c r="I22" s="42"/>
      <c r="J22" s="43"/>
    </row>
    <row r="23" spans="1:10" ht="24.6" customHeight="1" x14ac:dyDescent="0.25">
      <c r="A23" s="44"/>
      <c r="B23" s="59" t="s">
        <v>56</v>
      </c>
      <c r="C23" s="59"/>
      <c r="D23" s="59"/>
      <c r="E23" s="59"/>
      <c r="F23" s="59"/>
      <c r="G23" s="59"/>
      <c r="H23" s="59"/>
      <c r="I23" s="59"/>
      <c r="J23" s="59"/>
    </row>
    <row r="24" spans="1:10" outlineLevel="1" x14ac:dyDescent="0.25">
      <c r="G24" s="60" t="s">
        <v>34</v>
      </c>
      <c r="H24" s="61"/>
      <c r="I24" s="61"/>
      <c r="J24" s="62"/>
    </row>
    <row r="25" spans="1:10" outlineLevel="1" x14ac:dyDescent="0.25">
      <c r="G25" s="6"/>
      <c r="H25" s="45" t="s">
        <v>5</v>
      </c>
      <c r="I25" s="46"/>
      <c r="J25" s="47"/>
    </row>
    <row r="26" spans="1:10" outlineLevel="1" x14ac:dyDescent="0.25">
      <c r="B26" s="10" t="s">
        <v>7</v>
      </c>
      <c r="G26" s="11" t="s">
        <v>5</v>
      </c>
      <c r="H26" s="48" t="e">
        <f>H27+H28</f>
        <v>#VALUE!</v>
      </c>
      <c r="I26" s="49"/>
      <c r="J26" s="50"/>
    </row>
    <row r="27" spans="1:10" outlineLevel="1" x14ac:dyDescent="0.25">
      <c r="B27" s="10" t="s">
        <v>8</v>
      </c>
      <c r="G27" s="6" t="s">
        <v>9</v>
      </c>
      <c r="H27" s="51" t="s">
        <v>35</v>
      </c>
      <c r="I27" s="52"/>
      <c r="J27" s="53"/>
    </row>
    <row r="28" spans="1:10" outlineLevel="1" x14ac:dyDescent="0.25">
      <c r="B28" s="10"/>
      <c r="G28" s="6" t="s">
        <v>10</v>
      </c>
      <c r="H28" s="51" t="e">
        <f>COUNTIF(#REF!,"Nhỏ")</f>
        <v>#REF!</v>
      </c>
      <c r="I28" s="52"/>
      <c r="J28" s="53"/>
    </row>
    <row r="29" spans="1:10" ht="55.15" customHeight="1" outlineLevel="1" x14ac:dyDescent="0.25">
      <c r="A29" s="17" t="s">
        <v>11</v>
      </c>
      <c r="B29" s="17" t="s">
        <v>12</v>
      </c>
      <c r="C29" s="17" t="s">
        <v>13</v>
      </c>
      <c r="D29" s="17" t="s">
        <v>14</v>
      </c>
      <c r="E29" s="17" t="s">
        <v>15</v>
      </c>
      <c r="F29" s="17" t="s">
        <v>16</v>
      </c>
      <c r="G29" s="17" t="s">
        <v>17</v>
      </c>
      <c r="H29" s="63" t="s">
        <v>19</v>
      </c>
      <c r="I29" s="64"/>
      <c r="J29" s="65"/>
    </row>
    <row r="30" spans="1:10" ht="64.5" customHeight="1" outlineLevel="1" x14ac:dyDescent="0.25">
      <c r="A30" s="22">
        <v>1</v>
      </c>
      <c r="B30" s="23" t="s">
        <v>21</v>
      </c>
      <c r="C30" s="24" t="s">
        <v>36</v>
      </c>
      <c r="D30" s="25">
        <v>46286</v>
      </c>
      <c r="E30" s="25">
        <v>46291</v>
      </c>
      <c r="F30" s="22" t="s">
        <v>22</v>
      </c>
      <c r="G30" s="22" t="s">
        <v>23</v>
      </c>
      <c r="H30" s="19"/>
      <c r="I30" s="57"/>
      <c r="J30" s="57"/>
    </row>
    <row r="31" spans="1:10" ht="60" customHeight="1" outlineLevel="1" x14ac:dyDescent="0.25">
      <c r="A31" s="28">
        <v>2</v>
      </c>
      <c r="B31" s="23" t="s">
        <v>24</v>
      </c>
      <c r="C31" s="24" t="s">
        <v>25</v>
      </c>
      <c r="D31" s="25">
        <v>46286</v>
      </c>
      <c r="E31" s="25">
        <v>46291</v>
      </c>
      <c r="F31" s="22" t="s">
        <v>22</v>
      </c>
      <c r="G31" s="22" t="s">
        <v>23</v>
      </c>
      <c r="H31" s="19"/>
      <c r="I31" s="57"/>
      <c r="J31" s="57"/>
    </row>
    <row r="32" spans="1:10" ht="36.75" customHeight="1" x14ac:dyDescent="0.25">
      <c r="A32" s="22">
        <v>3</v>
      </c>
      <c r="B32" s="23" t="s">
        <v>37</v>
      </c>
      <c r="C32" s="29" t="s">
        <v>38</v>
      </c>
      <c r="D32" s="25">
        <v>46286</v>
      </c>
      <c r="E32" s="25">
        <v>46291</v>
      </c>
      <c r="F32" s="22" t="s">
        <v>22</v>
      </c>
      <c r="G32" s="22" t="s">
        <v>23</v>
      </c>
      <c r="H32" s="54"/>
      <c r="I32" s="57"/>
      <c r="J32" s="57"/>
    </row>
    <row r="33" spans="1:10" ht="47.25" customHeight="1" x14ac:dyDescent="0.25">
      <c r="A33" s="28">
        <v>4</v>
      </c>
      <c r="B33" s="23" t="s">
        <v>27</v>
      </c>
      <c r="C33" s="24" t="s">
        <v>39</v>
      </c>
      <c r="D33" s="25">
        <v>46286</v>
      </c>
      <c r="E33" s="25">
        <v>46291</v>
      </c>
      <c r="F33" s="22" t="s">
        <v>22</v>
      </c>
      <c r="G33" s="22" t="s">
        <v>23</v>
      </c>
      <c r="H33" s="54"/>
      <c r="I33" s="57"/>
      <c r="J33" s="57"/>
    </row>
    <row r="34" spans="1:10" ht="69" customHeight="1" x14ac:dyDescent="0.25">
      <c r="A34" s="22">
        <v>5</v>
      </c>
      <c r="B34" s="30" t="s">
        <v>28</v>
      </c>
      <c r="C34" s="24"/>
      <c r="D34" s="25">
        <v>46286</v>
      </c>
      <c r="E34" s="25">
        <v>46291</v>
      </c>
      <c r="F34" s="22" t="s">
        <v>22</v>
      </c>
      <c r="G34" s="22" t="s">
        <v>23</v>
      </c>
      <c r="H34" s="54"/>
      <c r="I34" s="57"/>
      <c r="J34" s="57"/>
    </row>
    <row r="35" spans="1:10" ht="70.5" customHeight="1" x14ac:dyDescent="0.25">
      <c r="A35" s="28">
        <v>6</v>
      </c>
      <c r="B35" s="31" t="s">
        <v>29</v>
      </c>
      <c r="C35" s="24"/>
      <c r="D35" s="25">
        <v>46286</v>
      </c>
      <c r="E35" s="25">
        <v>46291</v>
      </c>
      <c r="F35" s="22" t="s">
        <v>22</v>
      </c>
      <c r="G35" s="6"/>
      <c r="H35" s="54"/>
      <c r="I35" s="57"/>
      <c r="J35" s="57"/>
    </row>
    <row r="36" spans="1:10" ht="36.6" customHeight="1" x14ac:dyDescent="0.25">
      <c r="A36" s="22">
        <v>7</v>
      </c>
      <c r="B36" s="32" t="s">
        <v>30</v>
      </c>
      <c r="C36" s="24"/>
      <c r="D36" s="25">
        <v>46286</v>
      </c>
      <c r="E36" s="25">
        <v>46291</v>
      </c>
      <c r="F36" s="22" t="s">
        <v>22</v>
      </c>
      <c r="G36" s="22" t="s">
        <v>23</v>
      </c>
      <c r="H36" s="54"/>
      <c r="I36" s="57"/>
      <c r="J36" s="57"/>
    </row>
    <row r="37" spans="1:10" ht="31.9" customHeight="1" x14ac:dyDescent="0.25">
      <c r="A37" s="28">
        <v>8</v>
      </c>
      <c r="B37" s="33" t="s">
        <v>31</v>
      </c>
      <c r="C37" s="24"/>
      <c r="D37" s="25">
        <v>46286</v>
      </c>
      <c r="E37" s="25">
        <v>46291</v>
      </c>
      <c r="F37" s="22" t="s">
        <v>22</v>
      </c>
      <c r="G37" s="6"/>
      <c r="H37" s="54"/>
      <c r="I37" s="55"/>
      <c r="J37" s="55"/>
    </row>
    <row r="38" spans="1:10" ht="86.25" customHeight="1" x14ac:dyDescent="0.25">
      <c r="A38" s="28">
        <v>9</v>
      </c>
      <c r="B38" s="33" t="s">
        <v>32</v>
      </c>
      <c r="C38" s="24" t="s">
        <v>40</v>
      </c>
      <c r="D38" s="25">
        <v>46286</v>
      </c>
      <c r="E38" s="25">
        <v>46291</v>
      </c>
      <c r="F38" s="22" t="s">
        <v>22</v>
      </c>
      <c r="G38" s="22" t="s">
        <v>23</v>
      </c>
      <c r="H38" s="26"/>
      <c r="I38" s="56"/>
      <c r="J38" s="55"/>
    </row>
  </sheetData>
  <dataConsolidate/>
  <mergeCells count="26">
    <mergeCell ref="I37:J37"/>
    <mergeCell ref="I38:J38"/>
    <mergeCell ref="I31:J31"/>
    <mergeCell ref="I32:J32"/>
    <mergeCell ref="I33:J33"/>
    <mergeCell ref="I34:J34"/>
    <mergeCell ref="I35:J35"/>
    <mergeCell ref="I36:J36"/>
    <mergeCell ref="I30:J30"/>
    <mergeCell ref="I13:J13"/>
    <mergeCell ref="I14:J14"/>
    <mergeCell ref="I15:J15"/>
    <mergeCell ref="I16:J16"/>
    <mergeCell ref="I17:J17"/>
    <mergeCell ref="I18:J18"/>
    <mergeCell ref="I19:J19"/>
    <mergeCell ref="I20:J20"/>
    <mergeCell ref="B23:J23"/>
    <mergeCell ref="G24:J24"/>
    <mergeCell ref="H29:J29"/>
    <mergeCell ref="I12:J12"/>
    <mergeCell ref="A2:L2"/>
    <mergeCell ref="G5:J5"/>
    <mergeCell ref="I10:J10"/>
    <mergeCell ref="B11:G11"/>
    <mergeCell ref="I11:J11"/>
  </mergeCells>
  <conditionalFormatting sqref="H12:H19">
    <cfRule type="expression" dxfId="23" priority="9">
      <formula>$H12="Không đạt"</formula>
    </cfRule>
    <cfRule type="expression" dxfId="22" priority="10">
      <formula>$H12="Đạt"</formula>
    </cfRule>
    <cfRule type="expression" dxfId="21" priority="11">
      <formula>"AND($I$9:$I$21=""Đạt"</formula>
    </cfRule>
    <cfRule type="containsText" dxfId="20" priority="12" operator="containsText" text="Không">
      <formula>NOT(ISERROR(SEARCH("Không",H12)))</formula>
    </cfRule>
  </conditionalFormatting>
  <conditionalFormatting sqref="H20 H22">
    <cfRule type="expression" dxfId="19" priority="5">
      <formula>$H20="Không đạt"</formula>
    </cfRule>
    <cfRule type="expression" dxfId="18" priority="6">
      <formula>$H20="Đạt"</formula>
    </cfRule>
    <cfRule type="expression" dxfId="17" priority="7">
      <formula>"AND($I$9:$I$21=""Đạt"</formula>
    </cfRule>
    <cfRule type="containsText" dxfId="16" priority="8" operator="containsText" text="Không">
      <formula>NOT(ISERROR(SEARCH("Không",H20)))</formula>
    </cfRule>
  </conditionalFormatting>
  <conditionalFormatting sqref="H38">
    <cfRule type="expression" dxfId="15" priority="1">
      <formula>$H38="Không đạt"</formula>
    </cfRule>
    <cfRule type="expression" dxfId="14" priority="2">
      <formula>$H38="Đạt"</formula>
    </cfRule>
    <cfRule type="expression" dxfId="13" priority="3">
      <formula>"AND($I$9:$I$21=""Đạt"</formula>
    </cfRule>
    <cfRule type="containsText" dxfId="12" priority="4" operator="containsText" text="Không">
      <formula>NOT(ISERROR(SEARCH("Không",H38)))</formula>
    </cfRule>
  </conditionalFormatting>
  <dataValidations count="1">
    <dataValidation type="list" allowBlank="1" showInputMessage="1" showErrorMessage="1" sqref="H38 H22 H12:H20" xr:uid="{AE490919-A2D3-4DDA-9330-7E726646D43B}">
      <formula1>$B$7:$B$7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1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5D1E-C0C1-4E92-82FE-9A927D583F26}">
  <dimension ref="A1:L38"/>
  <sheetViews>
    <sheetView tabSelected="1" view="pageBreakPreview" zoomScale="85" zoomScaleNormal="85" zoomScaleSheetLayoutView="85" workbookViewId="0">
      <pane ySplit="10" topLeftCell="A11" activePane="bottomLeft" state="frozen"/>
      <selection activeCell="C15" sqref="C15"/>
      <selection pane="bottomLeft" activeCell="C16" sqref="C16"/>
    </sheetView>
  </sheetViews>
  <sheetFormatPr defaultColWidth="8.7109375" defaultRowHeight="15" outlineLevelRow="1" x14ac:dyDescent="0.25"/>
  <cols>
    <col min="1" max="1" width="17.28515625" style="1" customWidth="1"/>
    <col min="2" max="2" width="29.7109375" style="1" customWidth="1"/>
    <col min="3" max="3" width="37.42578125" style="1" customWidth="1"/>
    <col min="4" max="4" width="10.5703125" style="1" customWidth="1"/>
    <col min="5" max="5" width="10.28515625" style="1" customWidth="1"/>
    <col min="6" max="6" width="12.5703125" style="1" customWidth="1"/>
    <col min="7" max="7" width="13" style="1" customWidth="1"/>
    <col min="8" max="9" width="9.7109375" style="1" customWidth="1"/>
    <col min="10" max="10" width="13.140625" style="1" customWidth="1"/>
    <col min="11" max="11" width="19.28515625" style="1" customWidth="1"/>
    <col min="12" max="16384" width="8.7109375" style="1"/>
  </cols>
  <sheetData>
    <row r="1" spans="1:12" ht="42.75" customHeight="1" x14ac:dyDescent="0.3">
      <c r="C1" s="2"/>
    </row>
    <row r="2" spans="1:12" ht="39.4" customHeight="1" x14ac:dyDescent="0.25">
      <c r="A2" s="66" t="s">
        <v>62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x14ac:dyDescent="0.25">
      <c r="A3" s="4" t="s">
        <v>0</v>
      </c>
      <c r="B3" s="1" t="s">
        <v>1</v>
      </c>
    </row>
    <row r="4" spans="1:12" x14ac:dyDescent="0.25">
      <c r="A4" s="5" t="s">
        <v>2</v>
      </c>
      <c r="B4" s="1" t="s">
        <v>3</v>
      </c>
    </row>
    <row r="5" spans="1:12" ht="14.65" customHeight="1" x14ac:dyDescent="0.25">
      <c r="G5" s="60" t="s">
        <v>4</v>
      </c>
      <c r="H5" s="61"/>
      <c r="I5" s="61"/>
      <c r="J5" s="62"/>
    </row>
    <row r="6" spans="1:12" x14ac:dyDescent="0.25">
      <c r="G6" s="6"/>
      <c r="H6" s="7" t="s">
        <v>5</v>
      </c>
      <c r="I6" s="8" t="s">
        <v>6</v>
      </c>
      <c r="J6" s="9" t="s">
        <v>7</v>
      </c>
    </row>
    <row r="7" spans="1:12" x14ac:dyDescent="0.25">
      <c r="B7" s="10" t="s">
        <v>7</v>
      </c>
      <c r="G7" s="11" t="s">
        <v>5</v>
      </c>
      <c r="H7" s="11"/>
      <c r="I7" s="12"/>
      <c r="J7" s="13"/>
    </row>
    <row r="8" spans="1:12" x14ac:dyDescent="0.25">
      <c r="B8" s="10" t="s">
        <v>8</v>
      </c>
      <c r="G8" s="6" t="s">
        <v>9</v>
      </c>
      <c r="H8" s="14"/>
      <c r="I8" s="15"/>
      <c r="J8" s="16"/>
    </row>
    <row r="9" spans="1:12" x14ac:dyDescent="0.25">
      <c r="B9" s="10"/>
      <c r="G9" s="6" t="s">
        <v>10</v>
      </c>
      <c r="H9" s="14"/>
      <c r="I9" s="15"/>
      <c r="J9" s="16"/>
    </row>
    <row r="10" spans="1:12" s="18" customFormat="1" ht="43.15" customHeight="1" x14ac:dyDescent="0.25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  <c r="I10" s="63" t="s">
        <v>19</v>
      </c>
      <c r="J10" s="64"/>
      <c r="K10" s="1"/>
    </row>
    <row r="11" spans="1:12" s="21" customFormat="1" ht="26.45" customHeight="1" x14ac:dyDescent="0.25">
      <c r="A11" s="19"/>
      <c r="B11" s="68" t="s">
        <v>63</v>
      </c>
      <c r="C11" s="69"/>
      <c r="D11" s="69"/>
      <c r="E11" s="69"/>
      <c r="F11" s="69"/>
      <c r="G11" s="70"/>
      <c r="H11" s="20" t="s">
        <v>20</v>
      </c>
      <c r="I11" s="71"/>
      <c r="J11" s="71"/>
      <c r="K11" s="1"/>
    </row>
    <row r="12" spans="1:12" s="27" customFormat="1" ht="136.5" customHeight="1" x14ac:dyDescent="0.25">
      <c r="A12" s="22">
        <v>1</v>
      </c>
      <c r="B12" s="23" t="s">
        <v>21</v>
      </c>
      <c r="C12" s="24" t="s">
        <v>67</v>
      </c>
      <c r="D12" s="25">
        <v>46286</v>
      </c>
      <c r="E12" s="25">
        <v>46291</v>
      </c>
      <c r="F12" s="22" t="s">
        <v>22</v>
      </c>
      <c r="G12" s="22" t="s">
        <v>23</v>
      </c>
      <c r="H12" s="26" t="s">
        <v>6</v>
      </c>
      <c r="I12" s="55" t="s">
        <v>68</v>
      </c>
      <c r="J12" s="55"/>
      <c r="K12" s="1"/>
    </row>
    <row r="13" spans="1:12" ht="57.75" customHeight="1" x14ac:dyDescent="0.25">
      <c r="A13" s="28">
        <v>2</v>
      </c>
      <c r="B13" s="23" t="s">
        <v>24</v>
      </c>
      <c r="C13" s="24" t="s">
        <v>25</v>
      </c>
      <c r="D13" s="25">
        <v>46286</v>
      </c>
      <c r="E13" s="25">
        <v>46291</v>
      </c>
      <c r="F13" s="22" t="s">
        <v>22</v>
      </c>
      <c r="G13" s="22" t="s">
        <v>23</v>
      </c>
      <c r="H13" s="26" t="s">
        <v>6</v>
      </c>
      <c r="I13" s="55"/>
      <c r="J13" s="55"/>
    </row>
    <row r="14" spans="1:12" ht="51" customHeight="1" x14ac:dyDescent="0.25">
      <c r="A14" s="22">
        <v>3</v>
      </c>
      <c r="B14" s="23" t="s">
        <v>26</v>
      </c>
      <c r="C14" s="29"/>
      <c r="D14" s="25">
        <v>46286</v>
      </c>
      <c r="E14" s="25">
        <v>46291</v>
      </c>
      <c r="F14" s="22" t="s">
        <v>22</v>
      </c>
      <c r="G14" s="22" t="s">
        <v>23</v>
      </c>
      <c r="H14" s="26" t="s">
        <v>6</v>
      </c>
      <c r="I14" s="58"/>
      <c r="J14" s="58"/>
    </row>
    <row r="15" spans="1:12" ht="102" customHeight="1" x14ac:dyDescent="0.25">
      <c r="A15" s="28">
        <v>4</v>
      </c>
      <c r="B15" s="23" t="s">
        <v>27</v>
      </c>
      <c r="C15" s="24" t="s">
        <v>66</v>
      </c>
      <c r="D15" s="25">
        <v>46286</v>
      </c>
      <c r="E15" s="25">
        <v>46291</v>
      </c>
      <c r="F15" s="22" t="s">
        <v>22</v>
      </c>
      <c r="G15" s="6"/>
      <c r="H15" s="26" t="s">
        <v>6</v>
      </c>
      <c r="I15" s="55"/>
      <c r="J15" s="55"/>
    </row>
    <row r="16" spans="1:12" ht="106.15" customHeight="1" x14ac:dyDescent="0.25">
      <c r="A16" s="22">
        <v>5</v>
      </c>
      <c r="B16" s="30" t="s">
        <v>28</v>
      </c>
      <c r="C16" s="24"/>
      <c r="D16" s="25">
        <v>46286</v>
      </c>
      <c r="E16" s="25">
        <v>46291</v>
      </c>
      <c r="F16" s="22" t="s">
        <v>22</v>
      </c>
      <c r="G16" s="28" t="s">
        <v>23</v>
      </c>
      <c r="H16" s="26" t="s">
        <v>6</v>
      </c>
      <c r="I16" s="56"/>
      <c r="J16" s="55"/>
    </row>
    <row r="17" spans="1:10" ht="63" customHeight="1" x14ac:dyDescent="0.25">
      <c r="A17" s="28">
        <v>6</v>
      </c>
      <c r="B17" s="31" t="s">
        <v>29</v>
      </c>
      <c r="C17" s="24"/>
      <c r="D17" s="25">
        <v>46286</v>
      </c>
      <c r="E17" s="25">
        <v>46291</v>
      </c>
      <c r="F17" s="22" t="s">
        <v>22</v>
      </c>
      <c r="G17" s="6"/>
      <c r="H17" s="26" t="s">
        <v>6</v>
      </c>
      <c r="I17" s="56"/>
      <c r="J17" s="55"/>
    </row>
    <row r="18" spans="1:10" ht="46.5" customHeight="1" x14ac:dyDescent="0.25">
      <c r="A18" s="22">
        <v>7</v>
      </c>
      <c r="B18" s="32" t="s">
        <v>30</v>
      </c>
      <c r="C18" s="24" t="s">
        <v>65</v>
      </c>
      <c r="D18" s="25">
        <v>46286</v>
      </c>
      <c r="E18" s="25">
        <v>46291</v>
      </c>
      <c r="F18" s="22" t="s">
        <v>22</v>
      </c>
      <c r="G18" s="22" t="s">
        <v>23</v>
      </c>
      <c r="H18" s="26" t="s">
        <v>6</v>
      </c>
      <c r="I18" s="56"/>
      <c r="J18" s="55"/>
    </row>
    <row r="19" spans="1:10" ht="51.75" customHeight="1" x14ac:dyDescent="0.25">
      <c r="A19" s="28">
        <v>8</v>
      </c>
      <c r="B19" s="33" t="s">
        <v>31</v>
      </c>
      <c r="C19" s="24"/>
      <c r="D19" s="25">
        <v>46286</v>
      </c>
      <c r="E19" s="25">
        <v>46291</v>
      </c>
      <c r="F19" s="22" t="s">
        <v>22</v>
      </c>
      <c r="G19" s="6"/>
      <c r="H19" s="26" t="s">
        <v>6</v>
      </c>
      <c r="I19" s="56"/>
      <c r="J19" s="55"/>
    </row>
    <row r="20" spans="1:10" ht="86.25" customHeight="1" x14ac:dyDescent="0.25">
      <c r="A20" s="28">
        <v>9</v>
      </c>
      <c r="B20" s="33" t="s">
        <v>32</v>
      </c>
      <c r="C20" s="24" t="s">
        <v>59</v>
      </c>
      <c r="D20" s="25">
        <v>46286</v>
      </c>
      <c r="E20" s="25">
        <v>46291</v>
      </c>
      <c r="F20" s="22" t="s">
        <v>22</v>
      </c>
      <c r="G20" s="22" t="s">
        <v>23</v>
      </c>
      <c r="H20" s="26" t="s">
        <v>6</v>
      </c>
      <c r="I20" s="56"/>
      <c r="J20" s="55"/>
    </row>
    <row r="21" spans="1:10" x14ac:dyDescent="0.25">
      <c r="A21" s="3"/>
      <c r="B21" s="34"/>
      <c r="C21" s="35"/>
      <c r="D21" s="36"/>
      <c r="E21" s="36"/>
      <c r="F21" s="37"/>
      <c r="G21" s="3"/>
      <c r="I21" s="38"/>
      <c r="J21" s="38"/>
    </row>
    <row r="22" spans="1:10" ht="51.75" customHeight="1" x14ac:dyDescent="0.25">
      <c r="A22" s="3"/>
      <c r="B22" s="39"/>
      <c r="C22" s="40"/>
      <c r="D22" s="36"/>
      <c r="E22" s="36"/>
      <c r="F22" s="37"/>
      <c r="H22" s="41"/>
      <c r="I22" s="42"/>
      <c r="J22" s="43"/>
    </row>
    <row r="23" spans="1:10" ht="24.6" customHeight="1" x14ac:dyDescent="0.25">
      <c r="A23" s="44"/>
      <c r="B23" s="59" t="s">
        <v>64</v>
      </c>
      <c r="C23" s="59"/>
      <c r="D23" s="59"/>
      <c r="E23" s="59"/>
      <c r="F23" s="59"/>
      <c r="G23" s="59"/>
      <c r="H23" s="59"/>
      <c r="I23" s="59"/>
      <c r="J23" s="59"/>
    </row>
    <row r="24" spans="1:10" outlineLevel="1" x14ac:dyDescent="0.25">
      <c r="G24" s="60" t="s">
        <v>34</v>
      </c>
      <c r="H24" s="61"/>
      <c r="I24" s="61"/>
      <c r="J24" s="62"/>
    </row>
    <row r="25" spans="1:10" outlineLevel="1" x14ac:dyDescent="0.25">
      <c r="G25" s="6"/>
      <c r="H25" s="45" t="s">
        <v>5</v>
      </c>
      <c r="I25" s="46"/>
      <c r="J25" s="47"/>
    </row>
    <row r="26" spans="1:10" outlineLevel="1" x14ac:dyDescent="0.25">
      <c r="B26" s="10" t="s">
        <v>7</v>
      </c>
      <c r="G26" s="11" t="s">
        <v>5</v>
      </c>
      <c r="H26" s="48" t="e">
        <f>H27+H28</f>
        <v>#VALUE!</v>
      </c>
      <c r="I26" s="49"/>
      <c r="J26" s="50"/>
    </row>
    <row r="27" spans="1:10" outlineLevel="1" x14ac:dyDescent="0.25">
      <c r="B27" s="10" t="s">
        <v>8</v>
      </c>
      <c r="G27" s="6" t="s">
        <v>9</v>
      </c>
      <c r="H27" s="51" t="s">
        <v>35</v>
      </c>
      <c r="I27" s="52"/>
      <c r="J27" s="53"/>
    </row>
    <row r="28" spans="1:10" outlineLevel="1" x14ac:dyDescent="0.25">
      <c r="B28" s="10"/>
      <c r="G28" s="6" t="s">
        <v>10</v>
      </c>
      <c r="H28" s="51" t="e">
        <f>COUNTIF(#REF!,"Nhỏ")</f>
        <v>#REF!</v>
      </c>
      <c r="I28" s="52"/>
      <c r="J28" s="53"/>
    </row>
    <row r="29" spans="1:10" ht="55.15" customHeight="1" outlineLevel="1" x14ac:dyDescent="0.25">
      <c r="A29" s="17" t="s">
        <v>11</v>
      </c>
      <c r="B29" s="17" t="s">
        <v>12</v>
      </c>
      <c r="C29" s="17" t="s">
        <v>13</v>
      </c>
      <c r="D29" s="17" t="s">
        <v>14</v>
      </c>
      <c r="E29" s="17" t="s">
        <v>15</v>
      </c>
      <c r="F29" s="17" t="s">
        <v>16</v>
      </c>
      <c r="G29" s="17" t="s">
        <v>17</v>
      </c>
      <c r="H29" s="63" t="s">
        <v>19</v>
      </c>
      <c r="I29" s="64"/>
      <c r="J29" s="65"/>
    </row>
    <row r="30" spans="1:10" ht="64.5" customHeight="1" outlineLevel="1" x14ac:dyDescent="0.25">
      <c r="A30" s="22">
        <v>1</v>
      </c>
      <c r="B30" s="23" t="s">
        <v>21</v>
      </c>
      <c r="C30" s="24" t="s">
        <v>36</v>
      </c>
      <c r="D30" s="25">
        <v>46293</v>
      </c>
      <c r="E30" s="25">
        <v>46298</v>
      </c>
      <c r="F30" s="22" t="s">
        <v>22</v>
      </c>
      <c r="G30" s="22" t="s">
        <v>23</v>
      </c>
      <c r="H30" s="19"/>
      <c r="I30" s="57"/>
      <c r="J30" s="57"/>
    </row>
    <row r="31" spans="1:10" ht="60" customHeight="1" outlineLevel="1" x14ac:dyDescent="0.25">
      <c r="A31" s="28">
        <v>2</v>
      </c>
      <c r="B31" s="23" t="s">
        <v>24</v>
      </c>
      <c r="C31" s="24" t="s">
        <v>25</v>
      </c>
      <c r="D31" s="25">
        <v>46293</v>
      </c>
      <c r="E31" s="25">
        <v>46298</v>
      </c>
      <c r="F31" s="22" t="s">
        <v>22</v>
      </c>
      <c r="G31" s="22" t="s">
        <v>23</v>
      </c>
      <c r="H31" s="19"/>
      <c r="I31" s="57"/>
      <c r="J31" s="57"/>
    </row>
    <row r="32" spans="1:10" ht="36.75" customHeight="1" x14ac:dyDescent="0.25">
      <c r="A32" s="22">
        <v>3</v>
      </c>
      <c r="B32" s="23" t="s">
        <v>37</v>
      </c>
      <c r="C32" s="29" t="s">
        <v>38</v>
      </c>
      <c r="D32" s="25">
        <v>46293</v>
      </c>
      <c r="E32" s="25">
        <v>46298</v>
      </c>
      <c r="F32" s="22" t="s">
        <v>22</v>
      </c>
      <c r="G32" s="22" t="s">
        <v>23</v>
      </c>
      <c r="H32" s="54"/>
      <c r="I32" s="57"/>
      <c r="J32" s="57"/>
    </row>
    <row r="33" spans="1:10" ht="47.25" customHeight="1" x14ac:dyDescent="0.25">
      <c r="A33" s="28">
        <v>4</v>
      </c>
      <c r="B33" s="23" t="s">
        <v>27</v>
      </c>
      <c r="C33" s="24" t="s">
        <v>39</v>
      </c>
      <c r="D33" s="25">
        <v>46293</v>
      </c>
      <c r="E33" s="25">
        <v>46298</v>
      </c>
      <c r="F33" s="22" t="s">
        <v>22</v>
      </c>
      <c r="G33" s="22" t="s">
        <v>23</v>
      </c>
      <c r="H33" s="54"/>
      <c r="I33" s="57"/>
      <c r="J33" s="57"/>
    </row>
    <row r="34" spans="1:10" ht="69" customHeight="1" x14ac:dyDescent="0.25">
      <c r="A34" s="22">
        <v>5</v>
      </c>
      <c r="B34" s="30" t="s">
        <v>28</v>
      </c>
      <c r="C34" s="24"/>
      <c r="D34" s="25">
        <v>46293</v>
      </c>
      <c r="E34" s="25">
        <v>46298</v>
      </c>
      <c r="F34" s="22" t="s">
        <v>22</v>
      </c>
      <c r="G34" s="22" t="s">
        <v>23</v>
      </c>
      <c r="H34" s="54"/>
      <c r="I34" s="57"/>
      <c r="J34" s="57"/>
    </row>
    <row r="35" spans="1:10" ht="70.5" customHeight="1" x14ac:dyDescent="0.25">
      <c r="A35" s="28">
        <v>6</v>
      </c>
      <c r="B35" s="31" t="s">
        <v>29</v>
      </c>
      <c r="C35" s="24"/>
      <c r="D35" s="25">
        <v>46293</v>
      </c>
      <c r="E35" s="25">
        <v>46298</v>
      </c>
      <c r="F35" s="22" t="s">
        <v>22</v>
      </c>
      <c r="G35" s="6"/>
      <c r="H35" s="54"/>
      <c r="I35" s="57"/>
      <c r="J35" s="57"/>
    </row>
    <row r="36" spans="1:10" ht="36.6" customHeight="1" x14ac:dyDescent="0.25">
      <c r="A36" s="22">
        <v>7</v>
      </c>
      <c r="B36" s="32" t="s">
        <v>30</v>
      </c>
      <c r="C36" s="24"/>
      <c r="D36" s="25">
        <v>46293</v>
      </c>
      <c r="E36" s="25">
        <v>46298</v>
      </c>
      <c r="F36" s="22" t="s">
        <v>22</v>
      </c>
      <c r="G36" s="22" t="s">
        <v>23</v>
      </c>
      <c r="H36" s="54"/>
      <c r="I36" s="57"/>
      <c r="J36" s="57"/>
    </row>
    <row r="37" spans="1:10" ht="31.9" customHeight="1" x14ac:dyDescent="0.25">
      <c r="A37" s="28">
        <v>8</v>
      </c>
      <c r="B37" s="33" t="s">
        <v>31</v>
      </c>
      <c r="C37" s="24"/>
      <c r="D37" s="25">
        <v>46293</v>
      </c>
      <c r="E37" s="25">
        <v>46298</v>
      </c>
      <c r="F37" s="22" t="s">
        <v>22</v>
      </c>
      <c r="G37" s="6"/>
      <c r="H37" s="54"/>
      <c r="I37" s="55"/>
      <c r="J37" s="55"/>
    </row>
    <row r="38" spans="1:10" ht="86.25" customHeight="1" x14ac:dyDescent="0.25">
      <c r="A38" s="28">
        <v>9</v>
      </c>
      <c r="B38" s="33" t="s">
        <v>32</v>
      </c>
      <c r="C38" s="24" t="s">
        <v>40</v>
      </c>
      <c r="D38" s="25">
        <v>46293</v>
      </c>
      <c r="E38" s="25">
        <v>46298</v>
      </c>
      <c r="F38" s="22" t="s">
        <v>22</v>
      </c>
      <c r="G38" s="22" t="s">
        <v>23</v>
      </c>
      <c r="H38" s="26"/>
      <c r="I38" s="56"/>
      <c r="J38" s="55"/>
    </row>
  </sheetData>
  <dataConsolidate/>
  <mergeCells count="26">
    <mergeCell ref="I12:J12"/>
    <mergeCell ref="A2:L2"/>
    <mergeCell ref="G5:J5"/>
    <mergeCell ref="I10:J10"/>
    <mergeCell ref="B11:G11"/>
    <mergeCell ref="I11:J11"/>
    <mergeCell ref="I30:J30"/>
    <mergeCell ref="I13:J13"/>
    <mergeCell ref="I14:J14"/>
    <mergeCell ref="I15:J15"/>
    <mergeCell ref="I16:J16"/>
    <mergeCell ref="I17:J17"/>
    <mergeCell ref="I18:J18"/>
    <mergeCell ref="I19:J19"/>
    <mergeCell ref="I20:J20"/>
    <mergeCell ref="B23:J23"/>
    <mergeCell ref="G24:J24"/>
    <mergeCell ref="H29:J29"/>
    <mergeCell ref="I37:J37"/>
    <mergeCell ref="I38:J38"/>
    <mergeCell ref="I31:J31"/>
    <mergeCell ref="I32:J32"/>
    <mergeCell ref="I33:J33"/>
    <mergeCell ref="I34:J34"/>
    <mergeCell ref="I35:J35"/>
    <mergeCell ref="I36:J36"/>
  </mergeCells>
  <conditionalFormatting sqref="H12:H19">
    <cfRule type="expression" dxfId="11" priority="9">
      <formula>$H12="Không đạt"</formula>
    </cfRule>
    <cfRule type="expression" dxfId="10" priority="10">
      <formula>$H12="Đạt"</formula>
    </cfRule>
    <cfRule type="expression" dxfId="9" priority="11">
      <formula>"AND($I$9:$I$21=""Đạt"</formula>
    </cfRule>
    <cfRule type="containsText" dxfId="8" priority="12" operator="containsText" text="Không">
      <formula>NOT(ISERROR(SEARCH("Không",H12)))</formula>
    </cfRule>
  </conditionalFormatting>
  <conditionalFormatting sqref="H20 H22">
    <cfRule type="expression" dxfId="7" priority="5">
      <formula>$H20="Không đạt"</formula>
    </cfRule>
    <cfRule type="expression" dxfId="6" priority="6">
      <formula>$H20="Đạt"</formula>
    </cfRule>
    <cfRule type="expression" dxfId="5" priority="7">
      <formula>"AND($I$9:$I$21=""Đạt"</formula>
    </cfRule>
    <cfRule type="containsText" dxfId="4" priority="8" operator="containsText" text="Không">
      <formula>NOT(ISERROR(SEARCH("Không",H20)))</formula>
    </cfRule>
  </conditionalFormatting>
  <conditionalFormatting sqref="H38">
    <cfRule type="expression" dxfId="3" priority="1">
      <formula>$H38="Không đạt"</formula>
    </cfRule>
    <cfRule type="expression" dxfId="2" priority="2">
      <formula>$H38="Đạt"</formula>
    </cfRule>
    <cfRule type="expression" dxfId="1" priority="3">
      <formula>"AND($I$9:$I$21=""Đạt"</formula>
    </cfRule>
    <cfRule type="containsText" dxfId="0" priority="4" operator="containsText" text="Không">
      <formula>NOT(ISERROR(SEARCH("Không",H38)))</formula>
    </cfRule>
  </conditionalFormatting>
  <dataValidations count="1">
    <dataValidation type="list" allowBlank="1" showInputMessage="1" showErrorMessage="1" sqref="H38 H22 H12:H20" xr:uid="{432353D9-1BA1-4AC4-A3FD-3D9B07E71341}">
      <formula1>$B$7:$B$7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T9 BC Tuần 1 - KH Tuần 2 T9</vt:lpstr>
      <vt:lpstr>T9 BC Tuần 2 - KH Tuần 3 T9</vt:lpstr>
      <vt:lpstr>T9 BC Tuần 3 - KH Tuần 4 T9</vt:lpstr>
      <vt:lpstr>T9 BC Tuần 4 - KH Tuần 1 T10</vt:lpstr>
      <vt:lpstr>'T9 BC Tuần 1 - KH Tuần 2 T9'!Print_Area</vt:lpstr>
      <vt:lpstr>'T9 BC Tuần 2 - KH Tuần 3 T9'!Print_Area</vt:lpstr>
      <vt:lpstr>'T9 BC Tuần 3 - KH Tuần 4 T9'!Print_Area</vt:lpstr>
      <vt:lpstr>'T9 BC Tuần 4 - KH Tuần 1 T10'!Print_Area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</dc:creator>
  <cp:lastModifiedBy>EHS</cp:lastModifiedBy>
  <dcterms:created xsi:type="dcterms:W3CDTF">2026-09-05T01:29:34Z</dcterms:created>
  <dcterms:modified xsi:type="dcterms:W3CDTF">2026-10-02T02:26:00Z</dcterms:modified>
</cp:coreProperties>
</file>